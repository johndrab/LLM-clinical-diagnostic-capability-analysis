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T-4" sheetId="1" r:id="rId5"/>
    <sheet state="visible" name="Claude" sheetId="2" r:id="rId6"/>
    <sheet state="visible" name="Gemini" sheetId="3" r:id="rId7"/>
  </sheets>
  <definedNames/>
  <calcPr/>
</workbook>
</file>

<file path=xl/sharedStrings.xml><?xml version="1.0" encoding="utf-8"?>
<sst xmlns="http://schemas.openxmlformats.org/spreadsheetml/2006/main" count="3683" uniqueCount="790">
  <si>
    <t>LLM Clinical Vignette Evaluations</t>
  </si>
  <si>
    <t>Plausibility (0/0.5/1)</t>
  </si>
  <si>
    <t>Faithfulness (0/0.5/1)</t>
  </si>
  <si>
    <t>Calibration (0/0.5/1)</t>
  </si>
  <si>
    <t>Harmfulness (0/0.5/1)</t>
  </si>
  <si>
    <t>Average Accuracy Score</t>
  </si>
  <si>
    <t>Case ID (This matches to the IDs in .json dataset)</t>
  </si>
  <si>
    <t>Model</t>
  </si>
  <si>
    <t>Prompt Type</t>
  </si>
  <si>
    <t>Vignette</t>
  </si>
  <si>
    <t>Text Output (Model Response)</t>
  </si>
  <si>
    <t>Correct Diagnosis</t>
  </si>
  <si>
    <t>Correct Diagnosis? (Y/N)</t>
  </si>
  <si>
    <t>Human 
Evaluation</t>
  </si>
  <si>
    <t>Model 
Self-Score</t>
  </si>
  <si>
    <t>Accuracy 
Score</t>
  </si>
  <si>
    <t>Zero-shot</t>
  </si>
  <si>
    <t>Few-shot</t>
  </si>
  <si>
    <t>Chain-of-
Thought</t>
  </si>
  <si>
    <t>Average Human Score</t>
  </si>
  <si>
    <t>Average Self Score</t>
  </si>
  <si>
    <t>Average Human Score (0)</t>
  </si>
  <si>
    <t>Average Self Score (0)</t>
  </si>
  <si>
    <t>Average Human Score (F)</t>
  </si>
  <si>
    <t>Average Self Score (F)</t>
  </si>
  <si>
    <t>Average Human Score (C)</t>
  </si>
  <si>
    <t>Average Self Score (C)</t>
  </si>
  <si>
    <t>CV_001</t>
  </si>
  <si>
    <t>GPT-4</t>
  </si>
  <si>
    <t>zero-shot</t>
  </si>
  <si>
    <t xml:space="preserve">An 11-year-old girl is brought to her primary care physician by her mother with complaints of constant lower abdominal pain and foul-smelling urine for the past 2 days. The patient has had several previous episodes of simple urinary tract infections in the past. Her vitals signs show mild tachycardia without fever. Physical examination reveals suprapubic tenderness without costovertebral angle tenderness on percussion. Urinalysis reveals positive leukocyte esterase and nitrite. Further questioning reveals that the patient does not use the school toilets and holds her urine all day until she gets home. When pressed further, she gets teary-eyed and starts to cry and complains that other girls will make fun of her if she uses the bathroom and will spread rumors to the teachers and her friends. She reports that though this has never happened in the past it concerns her a great deal. Which of the following is the most likely diagnosis for this patient?
Options:
A. Social anxiety disorder
B. Social phobia performance only
C. Panic disorder
D. Specific phobia
E. Agoraphobia
</t>
  </si>
  <si>
    <t>Answer: A
Reasoning: The patient has a persistent fear of social situations (using the school bathroom) due to concern about being negatively evaluated, which is characteristic of social anxiety disorder.
Confidence: 95%</t>
  </si>
  <si>
    <t>Social anxiety disorder (Answer Index: A)</t>
  </si>
  <si>
    <t>Yes</t>
  </si>
  <si>
    <t xml:space="preserve"> GPT-4</t>
  </si>
  <si>
    <t>CV_002</t>
  </si>
  <si>
    <t xml:space="preserve">A 55-year-old man comes to the emergency department because of a dry cough and severe chest pain beginning that morning. Two months ago, he was diagnosed with inferior wall myocardial infarction and was treated with stent implantation of the right coronary artery. He has a history of hypertension and hypercholesterolemia. His medications include aspirin, clopidogrel, atorvastatin, and enalapril. His temperature is 38.5°C (101.3°F), pulse is 92/min, respirations are 22/min, and blood pressure is 130/80 mm Hg. Cardiac examination shows a high-pitched scratching sound best heard while sitting upright and during expiration. The remainder of the examination shows no abnormalities. An ECG shows diffuse ST elevations. Serum studies show a troponin I of 0.2 ng/mL (N &lt; 0.01). Which of the following is the most likely cause of this patient's symptoms?
Options:
A. Cardiac tamponade
B. Constrictive pericarditis
C. Reinfarction
D. Early infarct-associated pericarditis
E. Dressler syndrome
</t>
  </si>
  <si>
    <t>Answer: D  
Reasoning: The patient presents with pleuritic chest pain, fever, a pericardial friction rub, and diffuse ST elevations on ECG within weeks of a myocardial infarction, which is most consistent with early infarct-associated pericarditis.  
Confidence: 95%</t>
  </si>
  <si>
    <t>Dressler syndrome (Answer Index: E)</t>
  </si>
  <si>
    <t>No</t>
  </si>
  <si>
    <t>Claude</t>
  </si>
  <si>
    <t>CV_003</t>
  </si>
  <si>
    <t xml:space="preserve">A 68-year-old male presents to your office for his annual physical exam. He has no complaints at this time and his chronic hypertension is well controlled. You notice a .5cm papule on the patient's eyelid that has a pink pearly appearance, rolled borders, and overlying telangiectasias. On further questioning, you find out the patient was a door-to-door salesman and spent a lot of time outdoors, and he did not wear sunscreen. He has fair skin and blonde hair. The patient states that he first noticed the lesion about 6 months prior, and it has grown slightly since then. What is the most likely diagnosis?
Options:
A. Squamous cell carcinoma
B. Keratoacanthoma
C. Verrucous carcinoma
D. Basal cell carcinoma
E. Actinic keratosis
</t>
  </si>
  <si>
    <t>Answer: D  
Reasoning: The lesion's pink pearly appearance, rolled borders, and telangiectasias are classic for basal cell carcinoma, especially in a fair-skinned individual with significant sun exposure.  
Confidence: 100%</t>
  </si>
  <si>
    <t>Basal cell carcinoma (Answer Index: D)</t>
  </si>
  <si>
    <t>Gemini</t>
  </si>
  <si>
    <t>CV_004</t>
  </si>
  <si>
    <t xml:space="preserve">A 78-year-old man is brought to the emergency department because of difficulty speaking. The symptoms began abruptly one hour ago while he was having breakfast with his wife. He has hypertension, type 2 diabetes mellitus, and coronary artery disease. Current medications include pravastatin, lisinopril, metformin, and aspirin. His temperature is 37°C (98.6°F), pulse is 76/min, and blood pressure is 165/90 mm Hg. He is right-handed. The patient speaks in short, simple sentences, and has difficulty repeating sequences of words. He can follow simple instructions. Right facial droop is present. Muscle strength is 4/5 on the right side and 5/5 on the left, and there is a mild right-sided pronator drift. Which of the following is the most likely cause of the patient's symptoms?
Options:
A. Occlusion of the right penetrating arteries
B. Occlusion of the right middle cerebral artery
C. Occlusion of the left middle cerebral artery
D. Occlusion of the right posterior inferior cerebellar artery
E. Rupture of left posterior cerebral artery malformation
</t>
  </si>
  <si>
    <t>Answer: C  
Reasoning: The patient has acute onset right-sided weakness, right facial droop, and expressive (Broca's) aphasia, which localizes to the left (dominant) frontal lobe supplied by the left middle cerebral artery.  
Confidence: 100%</t>
  </si>
  <si>
    <t>Occlusion of the left middle cerebral artery (Answer Index: C)</t>
  </si>
  <si>
    <t>CV_005</t>
  </si>
  <si>
    <t xml:space="preserve">A 48-year-old man comes to the physician because of worsening shortness of breath and nocturnal cough for the past 2 weeks. On two occasions, his cough was bloody. He had a heart condition as a child that was treated with antibiotics. He emigrated to the US from Kazakhstan 15 years ago. Pulmonary examination shows crackles at both lung bases. Cardiac examination is shown. Which of the following is the most likely diagnosis?
Options:
A. Aortic valve regurgitation
B. Mitral valve prolapse
C. Mitral valve stenosis
D. Mitral valve regurgitation
E. Tricuspid valve stenosis
"
</t>
  </si>
  <si>
    <t>Answer: C  
Reasoning: The patient's history of childhood heart condition treated with antibiotics (suggesting rheumatic fever), origin from an area with higher rheumatic heart disease prevalence, and symptoms of pulmonary congestion (dyspnea, nocturnal cough, hemoptysis, crackles) point to mitral valve stenosis.  
Confidence: 95%</t>
  </si>
  <si>
    <t>Mitral valve stenosis (Answer Index: C)</t>
  </si>
  <si>
    <t>CV_006</t>
  </si>
  <si>
    <t xml:space="preserve">A 4-year-old boy is brought to the physician for a well-child examination. He started walking at 20 months of age. He can use a cup to drink but cannot use silverware. He speaks in 2-word sentences and can build a tower of 4 blocks. He can scribble but cannot draw a circle. He is above the 99th percentile for height and at the 15th percentile for weight. Vital signs are within normal limits. Examination shows bilateral inferior lens dislocation. His fingers are long and slender. He has a high-arched palate. The thumb and 5th finger overlap when he grips a wrist with the opposite hand. The skin over the neck can be extended and stretched easily. Which of the following is the most likely cause of these findings?
Options:
A. Hypoxanthine-guanine-phosphoribosyl transferase deficiency
B. Fibrillin 1 deficiency
C. Type V collagen deficiency
D. Cystathionine synthase deficiency
E. Galactokinase deficiency
</t>
  </si>
  <si>
    <t>Answer: D  
Reasoning: The boy has developmental delay, tall stature, long fingers, lens dislocation (inferior), and hyperextensible skin, which are classic for homocystinuria due to cystathionine synthase deficiency.  
Confidence: 100%</t>
  </si>
  <si>
    <t>Cystathionine synthase deficiency (Answer Index: D)</t>
  </si>
  <si>
    <t>CV_007</t>
  </si>
  <si>
    <t xml:space="preserve">A 4-year-old girl is brought to the physician with a 3-month history of progressive intermittent pain and swelling involving both knees, right ankle, and right wrist. The patient has been undergoing treatment with acetaminophen and ice packs, both of which relieved her symptoms. The affected joints feel "stuck” and are difficult to move immediately upon waking up in the morning. However, the patient can move her joints freely after a few minutes. She also complains of occasional mild eye pain that resolves spontaneously. Five months ago, she was diagnosed with an upper respiratory tract infection that resolved without treatment. Vital signs are within normal limits. Physical examination shows swollen and erythematous joints, which are tender to touch. Slit-lamp examination shows an anterior chamber flare with signs of iris inflammation bilaterally. Laboratory studies show:
Blood parameters
Hemoglobin 12.6 g/dL
Leukocyte count 8,000/mm3
Segmented neutrophils 76%
Eosinophils 1%
Lymphocytes 20%
Monocytes 3%
Platelet count 360,000/mm3
Erythrocyte sedimentation rate 36 mm/hr
Serum parameters
Antinuclear antibodies 1:320
Rheumatoid factor negative
Which of the following is the most likely diagnosis?
Options:
A. Acute lymphocytic leukemia
B. Enthesitis-related arthritis
C. Oligoarticular juvenile idiopathic arthritis
D. Postinfectious arthritis
E. Seronegative polyarticular juvenile idiopathic arthritis
</t>
  </si>
  <si>
    <t>Answer: C
Reasoning: The patient has a chronic, insidious onset of arthritis involving ≤4 joints (oligoarticular), morning stiffness, and uveitis, with positive ANA and negative RF, which is characteristic of oligoarticular juvenile idiopathic arthritis.
Confidence: 100%</t>
  </si>
  <si>
    <t>Oligoarticular juvenile idiopathic arthritis (Answer Index: C)</t>
  </si>
  <si>
    <t>CV_008</t>
  </si>
  <si>
    <t xml:space="preserve">A 35-year-old is brought into the emergency room after a bicycle vs motored vehicle accident. He was unconscious after hitting the side of his head on the road, but recovered consciousness after a few minutes. He started to ride his bicycle again, but then developed a severe headache with nausea and vomiting, at which time he called EMS. While in the hospital, the patient is confused and cannot provide a history. He quickly loses consciousness and his CT scan is displayed in Figure 1. What is the most likely diagnosis?
Options:
A. Subarachnoid hemorrhage
B. Subdural hematoma
C. Epidural hematoma
D. Subgaleal hematoma
E. Caput succedaneum
</t>
  </si>
  <si>
    <t>Answer: C  
Reasoning: The classic presentation of loss of consciousness, a lucid interval, followed by rapid deterioration after head trauma is characteristic of an epidural hematoma, often due to middle meningeal artery injury.  
Confidence: 100%</t>
  </si>
  <si>
    <t>Epidural hematoma (Answer Index: C)</t>
  </si>
  <si>
    <t/>
  </si>
  <si>
    <t>CV_009</t>
  </si>
  <si>
    <t xml:space="preserve">A 79-year-old man is admitted to the intensive care unit for hospital acquired pneumonia, a COPD flare, and acute heart failure requiring intubation and mechanical ventilation. On his first night in the intensive care unit, his temperature is 99.7°F (37.6°C), blood pressure is 107/58 mm Hg, and pulse is 150/min which is a sudden change from his previous vitals. Physical exam is notable for jugular venous distension and a rapid heart rate. The ventilator is checked and is functioning normally. Which of the following is the best next step in management for the most likely diagnosis?
Options:
A. Chest radiograph
B. FAST exam
C. Needle thoracostomy
D. Thoracotomy
E. Tube thoracostomy
</t>
  </si>
  <si>
    <t>Answer: C  
Reasoning: The patient has sudden-onset tachycardia, hypotension, and jugular venous distension while on mechanical ventilation, suggesting tension pneumothorax, which requires immediate needle thoracostomy before confirmatory imaging.  
Confidence: 95%</t>
  </si>
  <si>
    <t>Needle thoracostomy (Answer Index: C)</t>
  </si>
  <si>
    <t>CV_010</t>
  </si>
  <si>
    <t xml:space="preserve">A primigravida, 29-year-old woman presents in her 28th week of pregnancy for evaluation of 3 hours of vaginal bleeding and abdominal pain. She denies any trauma and states that this is the first time she has had such symptoms. Her prenatal care has been optimal and all of her antenatal screenings have been within normal limits. Her vital signs are unremarkable. Physical examination reveals a small amount of blood in the vaginal canal and the cervical os is closed. Ultrasound imaging demonstrates positive fetal cardiac activity. What is the most likely diagnosis?
Options:
A. Complete abortion
B. Incomplete abortion
C. Inevitable abortion
D. Missed abortion
E. Threatened abortion
</t>
  </si>
  <si>
    <t>Answer: E
Reasoning: The patient has vaginal bleeding and abdominal pain in the second trimester, but the cervical os is closed and fetal cardiac activity is present, which is consistent with a threatened abortion.
Confidence: 100%</t>
  </si>
  <si>
    <t>Threatened abortion (Answer Index: E)</t>
  </si>
  <si>
    <t>CV_011</t>
  </si>
  <si>
    <t xml:space="preserve">A 34-year-old woman comes to the emergency department because of right flank pain and vomiting for 5 hours. She has had fever and chills for the past 2 days. She attended a barbecue 3 days ago, where she ate egg salad. She underwent surgery for left ovarian torsion a year ago. Menses occur at regular 28-day intervals and last 5 days. She is sexually active with 2 male partners and uses condoms inconsistently. Her only medication is an oral contraceptive pill. She is 163 cm (5 ft 4 in) tall and weighs 72.5 kg (160 lb); BMI is 27.5 kg/m2. She appears uncomfortable. Her temperature is 38.9°C (102°F), pulse is 101/min, and blood pressure is 118/76 mm Hg. The lungs are clear to auscultation. The right lower quadrant and right flank show severe tenderness to palpation. Pelvic examination shows no abnormalities. Laboratory studies show:
Hemoglobin 12.8 g/dL
Leukocyte count 14,200/mm3
Platelet count 230,000/mm3
Serum
Na+ 136 mEq/L
K+ 3.8 mEq/L
Cl- 103 mEq/L
Urea nitrogen 23 mg/dL
Creatinine 1.2 mg/dL
Urine
Blood 1+
Protein 1+
Glucose negative
Leukocyte esterase positive
Nitrites negative
RBC 6–8/hpf
WBC 80–85/hpf
Which of the following is the most likely diagnosis?"
Options:
A. Ovarian torsion
B. Gastroenteritis
C. Urethritis
D. Pelvic inflammatory disease
E. Pyelonephritis
</t>
  </si>
  <si>
    <t>Answer: E
Reasoning: The patient has fever, chills, right flank pain, vomiting, leukocytosis, and urinalysis showing pyuria and hematuria, which are most consistent with pyelonephritis.
Confidence: 100%</t>
  </si>
  <si>
    <t>Pyelonephritis (Answer Index: E)</t>
  </si>
  <si>
    <t>CV_012</t>
  </si>
  <si>
    <t xml:space="preserve">A 47-year-old woman presents with intermittent throbbing headaches. She says that she has had at least 1–2 every week for the last 3 months. She describes the pain as severe, pulsatile, and localized to the right frontotemporal and periorbital areas. She says the headaches usually last for several hours and are made worse by the presence of light. She endorses nausea with occasional vomiting during the most severe episodes. She denies any seizures, loss of consciousness, or focal neurologic deficits. Her past medical history is significant for myocardial infarction (MI) 1 year ago, status post percutaneous transluminal coronary angioplasty complicated by residual angina, and severe asthma, managed medically. The patient is afebrile, and the vital signs are within normal limits. A physical examination is unremarkable. A noncontrast computed tomography (CT) scan of the head appears normal. Which of the following is the best prophylactic treatment for this patient’s most likely diagnosis?
Options:
A. Sumatriptan
B. Amitriptyline
C. Valproic acid
D. Propranolol
E. Ibuprofen
</t>
  </si>
  <si>
    <t>Answer: B  
Reasoning: Amitriptyline is an effective prophylactic agent for migraine and is preferred in patients with contraindications to beta-blockers (propranolol) and valproic acid, such as those with a history of MI and severe asthma.  
Confidence: 95%</t>
  </si>
  <si>
    <t>Valproic acid (Answer Index: C)</t>
  </si>
  <si>
    <t>CV_013</t>
  </si>
  <si>
    <t xml:space="preserve">A 51-year-old woman presents the following significant and unintentional weight loss. She denies any personal history of blood clots in her past, but she says that her mother has also had to be treated for pulmonary embolism in the recent past. She also mentions that she had been struggling with her weight, so she was initially content with losing the weight, but her daughter convinced her to come to the office to be checked out. Her past medical history is significant for preeclampsia, hypertension, polycystic ovarian syndrome, and hypercholesterolemia. She currently smokes 1 pack of cigarettes per day, drinks a glass of wine per day, and she currently denies any illicit drug use, although she has a remote past of injection drug use with heroin. The vital signs include: temperature 36.7°C (98.0°F), blood pressure 126/74 mm Hg, heart rate 111/min and irregular, and respiratory rate 17/min. On physical examination, her pulses are bounding and complexion is pale, but breath sounds remain clear. Oxygen saturation was initially 91% on room air and electrocardiogram (ECG) showed atrial fibrillation. Upon further discussion with the patient, her physician discovers that she is having some cognitive difficulty. Her leukocyte count is elevated to 128,000/mm3, and she has elevated lactate dehydrogenase (LDH), uric acid, and B-12 levels. A BCR-ABL translocation is present, as evidenced by the Philadelphia chromosome. What is the most likely diagnosis for this patient?
Options:
A. Acute lymphocytic leukemia
B. Acute myelogenous leukemia
C. Chronic lymphocytic leukemia
D. Chronic myelogenous leukemia
E. Hairy cell leukemia
</t>
  </si>
  <si>
    <t>Answer: D  
Reasoning: The presence of a markedly elevated leukocyte count, elevated LDH, uric acid, B-12, and especially the BCR-ABL translocation (Philadelphia chromosome) is diagnostic for chronic myelogenous leukemia (CML).  
Confidence: 100%</t>
  </si>
  <si>
    <t>Chronic myelogenous leukemia (Answer Index: D)</t>
  </si>
  <si>
    <t>CV_014</t>
  </si>
  <si>
    <t xml:space="preserve">A 32-year-old G0P0 female complains of unsuccessful pregnancy since discontinuing an oral contraceptive 12 months ago. She reports menarche at age 15 and has had irregular periods since. She had occasional spotting while taking an oral contraceptive, but she has not had a “normal period” since discontinuing the pill. She currently denies having any hot flashes. Physical examination reveals normal height and BMI. A speculum examination shows atrophic vagina. Thyroid-stimulating hormone and prolactin concentrations are within normal limits. The patient tests negative for a qualitative serum beta‐hCG. The laboratory findings include a follicle-stimulating hormone (FSH) level of 56 mIU/mL and an estradiol level of &lt;18 pmol/L, confirmed by 2 separate readings within 2 months. Based on her history, physical examination, and laboratory findings, what is the most likely cause of her infertility?
Options:
A. Polycystic ovary syndrome
B. Hyperprolactinemia
C. Primary ovarian insufficiency
D. Secondary ovarian insufficiency
E. Menopause
</t>
  </si>
  <si>
    <t>Answer: C  
Reasoning: The patient is a young woman with infertility, irregular menses, atrophic vagina, elevated FSH, and low estradiol, all consistent with primary ovarian insufficiency.  
Confidence: 100%</t>
  </si>
  <si>
    <t>Primary ovarian insufficiency (Answer Index: C)</t>
  </si>
  <si>
    <t>CV_015</t>
  </si>
  <si>
    <t xml:space="preserve">A 34-year-old African-American woman comes to the physician because of a 6-month history of fatigue, increasing shortness of breath on exertion, and a dry cough. She also has chronic constipation with bowel movements once every two to three days. She has not had fevers, night sweats, or weight loss. She has a history of hypertension and arthritis of both ankle joints. Current medications include hydrochlorothiazide and daily multivitamins. Her vital signs are within normal limits. Her serum sodium is 138 mEq/L, potassium is 3.9 mEq/L, and calcium is 11.5 mg/dL. An x-ray of the chest shows bilateral hilar lymphadenopathy and normal lung parenchyma. Which of the following is the most likely cause of this patient's hypercalcemia?
Options:
A. Elevated 1,25-dihydroxyvitamin D3 levels
B. PTH-related protein production
C. Thiazide-induced renal calcium reabsorption
D. Chronic kidney disease
E. Vitamin A toxicity
"
</t>
  </si>
  <si>
    <t>Answer: A  
Reasoning: The patient's presentation is most consistent with sarcoidosis, which can cause hypercalcemia due to increased production of 1,25-dihydroxyvitamin D3 by activated macrophages in granulomas.  
Confidence: 100%</t>
  </si>
  <si>
    <t>Elevated 1,25-dihydroxyvitamin D3 levels (Answer Index: A)</t>
  </si>
  <si>
    <t>CV_016</t>
  </si>
  <si>
    <t xml:space="preserve">A 43-year-old woman is brought to the emergency department by her brother for severe chest pain. The patient recently lost her husband in a car accident and is still extremely shocked by the event. On physical examination, her blood pressure is 105/67 mm Hg, the heart rate is 96/min and regular, breathing rate is 23/min, and the pulse oximetry is 96%. An S3 heart sound and rales in the lower right and left lung lobes are heard. A 12-lead ECG shows no significant findings. Echocardiography shows an enlarged left ventricle and left atrium. The patient is stabilized and informed about the diagnosis and possible treatment options. Which of the following is the most likely diagnosis?
Options:
A. Aortic stenosis
B. Atrial fibrillation
C. Constrictive pericarditis
D. Takotsubo cardiomyopathy
E. Restrictive cardiomyopathy
</t>
  </si>
  <si>
    <t>Answer: D  
Reasoning: The patient presents with acute heart failure symptoms, recent emotional stress, and echocardiographic findings of left ventricular enlargement, all suggestive of Takotsubo cardiomyopathy (stress-induced cardiomyopathy), especially in the absence of ECG changes or prior cardiac history.  
Confidence: 95%</t>
  </si>
  <si>
    <t>Takotsubo cardiomyopathy (Answer Index: D)</t>
  </si>
  <si>
    <t>CV_017</t>
  </si>
  <si>
    <t xml:space="preserve">A 62-year-old woman has been receiving amoxicillin for acute sinusitis for 12 days. She develops a macular rash on her neck, back, and torso. The amoxicillin is therefore changed to cephalexin for an additional week. The rash resolves, but she returns complaining of fatigue, flank pain, and fever that has persisted despite the resolution of the sinusitis. She has a history of essential hypertension, hyperlipidemia, and gastric reflux. She has been on a stable regimen of lisinopril, simvastatin, and omeprazole. Today, her vital signs reveal: temperature 37.9°C (100.2°F), blood pressure 145/90 mm Hg, regular pulse 75/min, and respirations 16/min. The physical examination is unremarkable. Serum urea and creatinine are elevated. Urinalysis shows leukocyturia, but urine bacterial culture is negative. A urine cytospin stained with Hansel’s solution reveals 3% binucleated cells with eosinophilic, granular cytoplasm. Which of the following is the most likely diagnosis?
Options:
A. Acute interstitial nephritis
B. Acute glomerulonephritis
C. Acute tubular necrosis
D. Acute vascular injury
E. IgA nephropathy
</t>
  </si>
  <si>
    <t>Answer: A
Reasoning: The patient developed renal dysfunction, fever, and eosinophiluria after recent antibiotic use, which is classic for acute interstitial nephritis, a hypersensitivity reaction often triggered by drugs such as beta-lactams.
Confidence: 100%</t>
  </si>
  <si>
    <t>Acute interstitial nephritis (Answer Index: A)</t>
  </si>
  <si>
    <t>CV_018</t>
  </si>
  <si>
    <t xml:space="preserve">A 65-year-old woman presents to her physician with a persistent and debilitating cough which began 3 weeks ago, and chest pain accompanied by shortness of breath for the past week. Past medical history is significant for breast carcinoma 10 years ago treated with mastectomy, chemotherapy and radiation, a hospitalization a month ago for pneumonia that was treated with antibiotics, hypertension, and diabetes mellitus. Medications include chlorthalidone and metformin. She does not smoke but her husband has been smoking 3 packs a day for 30 years. Today her respiratory rate is 20/min and the blood pressure is 150/90 mm Hg. Serum Na is 140 mmol/L, serum K is 3.8 mmol/L and serum Ca is 12.2 mg/dL. A chest X-ray (shown in image) is performed. Which of the following is the most likely diagnosis?
Options:
A. Bacterial pneumonia
B. Viral pneumonia
C. Small cell carcinoma lung
D. Squamous cell carcinoma lung
E. Tuberculosis
</t>
  </si>
  <si>
    <t>Answer: D  
Reasoning: The patient has a history of breast cancer, recent pneumonia, and now presents with cough, chest pain, and hypercalcemia. The chest X-ray (not shown, but implied to be abnormal) and hypercalcemia are most consistent with squamous cell carcinoma of the lung, which is known to cause paraneoplastic hypercalcemia via PTHrP production.  
Confidence: 90%</t>
  </si>
  <si>
    <t>Squamous cell carcinoma lung (Answer Index: D)</t>
  </si>
  <si>
    <t>CV_019</t>
  </si>
  <si>
    <t xml:space="preserve">A 2-day old male newborn delivered vaginally at 36 weeks to a 29-year-old woman, gravida 3, para 2, has generalized convulsions lasting 2 minutes. Previous to the event, he had difficulty feeding and was lethargic. Pregnancy and delivery were uncomplicated. Apgar scores were 7 and 8 at 1 and 5 minutes, respectively. Pregnancy and delivery of the mother's first 2 children were also uncomplicated. Medications of the mother include folic acid and a multivitamin. The mother's immunizations are up-to-date. The infant appears icteric. His vital signs are within normal limits. The infant's weight and length are at the 5th percentile, and his head circumference at the 99th percentile for gestational age. There are several purpura of the skin. Ocular examination shows posterior uveitis. The patient does not pass his auditory screening tests. Cranial ultrasonography shows ventricular dilatation, as well as hyperechoic foci within the cortex, basal ganglia, and periventricular region. Which of the following is the most likely diagnosis?
Options:
A. Congenital toxoplasmosis
B. Congenital rubella infection
C. Congenital syphilis infection
D. Congenital parvovirus infection
E. Congenital varicella infection
"
</t>
  </si>
  <si>
    <t>Answer: A  
Reasoning: The findings of hydrocephalus (ventricular dilatation), intracranial calcifications (hyperechoic foci), chorioretinitis (posterior uveitis), hearing loss, jaundice, and purpura are classic for congenital toxoplasmosis.  
Confidence: 100%</t>
  </si>
  <si>
    <t>Congenital toxoplasmosis (Answer Index: A)</t>
  </si>
  <si>
    <t>CV_020</t>
  </si>
  <si>
    <t xml:space="preserve">A 13-year-old female comes to your office complaining of dry, scaling skin (FIgure A). She is particularly concerned about the appearance of her skin around her peers. She indicates that she did not start having problems until she was 5 years of age, after which her skin has progressively become drier and scalier. She has tried all types of over-the-counter moisturizers with no resolution. What is the most likely diagnosis?
Options:
A. Ichthyosis vulgaris
B. Atopic dermatitis
C. Psoriasis
D. Miliaria
E. Suborrheic dermatitis
</t>
  </si>
  <si>
    <t>Answer: A  
Reasoning: The gradual onset of dry, scaling skin starting in childhood and unresponsive to moisturizers is most consistent with ichthyosis vulgaris.  
Confidence: 95%</t>
  </si>
  <si>
    <t>Ichthyosis vulgaris (Answer Index: A)</t>
  </si>
  <si>
    <t>CV_021</t>
  </si>
  <si>
    <t xml:space="preserve">A 53-year-old woman presents to a physician with a cough which she has had for the last 5 years. She mentions that her cough is worse in the morning and is associated with significant expectoration. There is no history of weight loss or constitutional symptoms like fever and malaise. Her past medical records show that she required hospitalization for breathing difficulty on 6 different occasions in the last 3 years. She also mentions that she was never completely free of her respiratory problems during the period between the exacerbations and that she has a cough with sputum most of the months for the last 3 years. She works in a cotton mill and is a non-smoker. Her mother and her maternal grandmother had asthma. Her temperature is 37.1°C (98.8°F), the pulse is 92/min, the blood pressure is 130/86 mm Hg, and her respiratory rate is 22/min. General examination shows obesity and mild cyanosis. Auscultation of her chest reveals bilateral coarse rhonchi. Her lung volumes on pulmonary function test are given below:
  Pre-bronchodilator Post-bronchodilator
FEV1 58% 63%
FVC  90% 92%
FEV1/FVC  0.62 0.63
TLC 98% 98%
The results are valid and repeatable as per standard criteria. Which of the following is the most likely diagnosis?
Options:
A. Asthma
B. Chronic bronchitis
C. Emphysema
D. Idiopathic pulmonary fibrosis
E. Extrinsic allergic alveolitis
</t>
  </si>
  <si>
    <t>Answer: B  
Reasoning: The patient has a chronic productive cough for at least 3 months in 2 consecutive years, persistent symptoms between exacerbations, a history of frequent exacerbations, and obstructive spirometry with minimal reversibility, all consistent with chronic bronchitis.  
Confidence: 100%</t>
  </si>
  <si>
    <t>Chronic bronchitis (Answer Index: B)</t>
  </si>
  <si>
    <t>CV_022</t>
  </si>
  <si>
    <t xml:space="preserve">A 4-year-old boy is brought to the physician because of a progressive rash for 2 days. The rash started behind the ears and now involves the trunk and extremities. Over the past 4 days, he has had mild sore throat, red, itchy eyes, and headache. He was born at term and has been healthy except for recurrent episodes of tonsillitis and occasional asthma attacks. Two weeks ago, he was treated for tonsillitis that resolved with penicillin therapy. He immigrated with his family from Brazil 3 weeks ago. His immunization status is unknown. The patient appears weak and lethargic. His temperature is 38°C (100.4°F), pulse is 100/min, and blood pressure is 100/60 mm Hg. Examination shows postauricular and suboccipital lymphadenopathy. There is a non-confluent, pink maculopapular rash over the torso and extremities. His palms and soles show no abnormalities. Which of the following is the most likely diagnosis?
Options:
A. Measles
B. Rubella
C. Allergic drug reaction
D. Scarlet fever
E. Erythema infectiosum
</t>
  </si>
  <si>
    <t>Answer: B
Reasoning: The child has a non-confluent, pink maculopapular rash that started behind the ears and spread to the trunk and extremities, with postauricular and suboccipital lymphadenopathy, mild fever, and conjunctivitis, which is most consistent with rubella.
Confidence: 95%</t>
  </si>
  <si>
    <t>Rubella (Answer Index: B)</t>
  </si>
  <si>
    <t>CV_023</t>
  </si>
  <si>
    <t xml:space="preserve">An 81-year-old man is brought to the clinic by his son to be evaluated for memory issues. The patient’s son says he has difficulty remembering recent events and names. He says the patient’s symptoms have progressively worsened over the last several years but became acutely worse just recently. Also, yesterday, the patient complained that he could not see out of his right eye, but today he can. When asked about these concerns, the patient seems to have no insight into the problem and reports feeling well. His medical history is significant for diabetes mellitus type 2 and hypertension. He had a left basal ganglia hemorrhage 12 years ago and a right middle cerebral artery infarction 4 years ago. Current medications are amlodipine, aspirin, clopidogrel, metformin, sitagliptin, and valsartan. He lives with his son and can feed himself and change his clothes. There is no history of urinary or fecal incontinence. His vitals include: blood pressure 137/82 mm Hg, pulse 78/min, respiratory rate 16/min, temperature 37.0°C (98.6°F). On physical examination, the patient is alert and oriented. He is unable to perform simple arithmetic calculations and the mini-mental status exam is inconclusive. He can write his name and comprehend written instructions. Muscle strength is 4/5 on the right side. The tone is also slightly reduced on the right side with exaggerated reflexes. His gait is hemiparetic. Which of the following is the most likely diagnosis in this patient?
Options:
A. Alzheimer's disease
B. Frontotemporal dementia
C. Lewy body dementia
D. Normal-pressure hydrocephalus
E. Vascular dementia
</t>
  </si>
  <si>
    <t>Answer: E
Reasoning: The patient has a history of multiple strokes, stepwise cognitive decline, focal neurological deficits, and acute worsening, all of which are characteristic of vascular dementia.
Confidence: 100%</t>
  </si>
  <si>
    <t>Vascular dementia (Answer Index: E)</t>
  </si>
  <si>
    <t>CV_024</t>
  </si>
  <si>
    <t xml:space="preserve">A 17-year-old boy presents to his primary care physician for eye pain. The patient states that it has been going on for the past 3 days and has been steadily worsening. He recently suffered a superior orbital fracture secondary to playing football without a helmet that required no treatment other than to refrain from contact sports. That patient's past medical history is non-contributory, and his vitals are within normal limits. Physical exam demonstrates pain and swelling inferior to the patient's eye near the lacrimal duct. When pressure is applied to the area expressible pus is noted. Cranial nerves II-XII are grossly intact. Which of the following is the most likely diagnosis?
Options:
A. Abscess
B. Dacrocystitis
C. Hordeolum
D. Orbital cellulitis
E. Periorbital cellulitis
</t>
  </si>
  <si>
    <t>Answer: B  
Reasoning: The location of pain and swelling near the lacrimal duct with expressible pus is most consistent with dacrocystitis, an infection of the lacrimal sac.  
Confidence: 95%</t>
  </si>
  <si>
    <t>Dacrocystitis (Answer Index: B)</t>
  </si>
  <si>
    <t>CV_025</t>
  </si>
  <si>
    <t xml:space="preserve">An otherwise healthy 45-year-old woman comes to the physician because of a 2-week history of an itchy rash on her left nipple. The rash began as small vesicles on the nipple and spread to the areola. It has become a painful ulcer with yellow, watery discharge that is occasionally blood-tinged. She has asthma treated with theophylline and inhaled salbutamol. Her younger sister was diagnosed with endometrial cancer a year ago. Examination shows a weeping, ulcerated lesion involving the entire left nipple-areolar complex. There are no breast masses, dimpling, or axillary lymphadenopathy. The remainder of the examination shows no abnormalities. Which of the following is the most likely diagnosis?
Options:
A. Inflammatory breast cancer
B. Mastitis
C. Breast abscess
D. Breast fibroadenoma
E. Paget disease of the breast
"
</t>
  </si>
  <si>
    <t>Answer: E  
Reasoning: The chronic, ulcerated, weeping lesion involving the nipple-areolar complex with blood-tinged discharge is most consistent with Paget disease of the breast, a form of underlying breast cancer presenting as eczematous changes of the nipple.  
Confidence: 95%</t>
  </si>
  <si>
    <t>Paget disease of the breast
" (Answer Index: E)</t>
  </si>
  <si>
    <t>CV_026</t>
  </si>
  <si>
    <t xml:space="preserve">A 23-year-old female college senior comes to the physician with a 1-year history of recurrent palpitations accompanied by sweating, facial blushing, and sometimes nausea. The symptoms are worse during class when she is occasionally called out to speak, which causes her to feel embarrassed. She has been skipping class on discussion days because she is concerned that her classmates may notice her symptoms. The patient does not enjoy jogging in the park anymore and has gained 2 kg (4 lbs 7 oz) over the past 2 months. Her appetite is unchanged. She has no history of serious illness. She does not smoke or drink alcohol. She has experimented with marijuana but does not use it currently. She appears nervous and does not make eye contact with the physician. Her vitals show a pulse of 85/min, her blood pressure is 125/70 mmHg, and her temperature is 36.8°C. Mental status examination reveals full range of affect. Neurological exam shows no abnormalities. Which of the following is the most likely diagnosis for this patient's symptoms?
Options:
A. Schizotypal personality disorder
B. Normal shyness
C. Avoidant personality disorder
D. Generalized anxiety disorder
E. Social anxiety disorder
"
</t>
  </si>
  <si>
    <t>Answer: E  
Reasoning: The patient has recurrent anxiety symptoms specifically triggered by social situations where she may be scrutinized (e.g., speaking in class), leading to avoidance and functional impairment, which is characteristic of social anxiety disorder.  
Confidence: 100%</t>
  </si>
  <si>
    <t>Social anxiety disorder
" (Answer Index: E)</t>
  </si>
  <si>
    <t>CV_027</t>
  </si>
  <si>
    <t xml:space="preserve">You are the intern on the labor and delivery floor. Your resident asks you to check on the patient in Bed 1. She is a 27-year-old prima gravida with no significant past medical history. She has had an uncomplicated pregnancy and has received regular prenatal care. You go to her bedside and glance at the fetal heart rate tracing (Image A). What is the most likely cause of this finding?
Options:
A. Fetal head compression
B. Utero-placental insufficiency
C. Cord compression
D. Fetal distress
E. Congenital heart block
</t>
  </si>
  <si>
    <t>Answer: A  
Reasoning: The most likely cause of early decelerations on fetal heart rate tracing in a primigravida with an uncomplicated pregnancy is fetal head compression, which is common during labor.  
Confidence: 95%</t>
  </si>
  <si>
    <t>Fetal head compression (Answer Index: A)</t>
  </si>
  <si>
    <t>CV_028</t>
  </si>
  <si>
    <t xml:space="preserve">A mother brings her 4-year-old son to his pediatrician. Over the last eight months, her son has been exhibiting several "odd" behaviors. Most importantly, he repeatedly says that he is playing games with a friend named "Steven," though she is certain that he does not exist. She has often found him acting out magical scenarios as though someone else is present, when no one is there. What is the most likely diagnosis in this patient?
Options:
A. Developmental delay
B. Schizophrenia
C. Normal development
D. Schizoid personality disorder
E. Schizophreniform disorder
</t>
  </si>
  <si>
    <t>Answer: C
Reasoning: Having imaginary friends and engaging in pretend play is normal development for a 4-year-old child.
Confidence: 100%</t>
  </si>
  <si>
    <t>Normal development (Answer Index: C)</t>
  </si>
  <si>
    <t>CV_029</t>
  </si>
  <si>
    <t xml:space="preserve">A 37-year-old G1P1001 delivers a male infant at 9 pounds 6 ounces after a C-section for preeclampsia with severe features. The mother has a history of type II diabetes with a hemoglobin A1c of 12.8% at her first obstetric visit. Before this pregnancy, she was taking metformin, and during this pregnancy, she was started on insulin. At her routine visits, her glucose logs frequently showed fasting fingerstick glucoses above 120 mg/dL and postprandial values above 180 mg/dL. In addition, her routine third trimester culture for group B Streptococcus was positive. At 38 weeks and 4 days gestation, she was found to have a blood pressure of 176/103 mmHg and reported a severe headache during a routine obstetric visit. She denied rupture of membranes or vaginal bleeding. Her physician sent her to the obstetric triage unit, and after failure of several intravenous doses of labetalol to lower her blood pressure and relieve her headache, a C-section was performed without complication. Fetal heart rate tracing had been reassuring throughout her admission. Apgar scores at 1 and 5 minutes were 7 and 10. After one hour, the infant is found to be jittery; the infant's temperature is 96.1°F (35.6°C), blood pressure is 80/50 mmHg, pulse is 110/min, and respirations are 60/min. When the first feeding is attempted, he does not latch and begins to shake his arms and legs. After 20 seconds, the episode ends and the infant becomes lethargic. Which of the following is the most likely cause of this infant’s presentation?
Options:
A. Transplacental action of maternal insulin
B. ß-cell hyperplasia
C. Neonatal sepsis
D. Inborn error of metabolism
E. Neonatal encephalopathy
</t>
  </si>
  <si>
    <t>Answer: B  
Reasoning: The infant of a diabetic mother with poor glycemic control is at risk for neonatal hypoglycemia due to fetal pancreatic β-cell hyperplasia, which leads to excessive insulin production and hypoglycemia after birth.  
Confidence: 100%</t>
  </si>
  <si>
    <t>ß-cell hyperplasia (Answer Index: B)</t>
  </si>
  <si>
    <t>CV_030</t>
  </si>
  <si>
    <t xml:space="preserve">A 55-year-old man comes to the physician because of a 6-month history of cough, breathlessness, and fatigue. He has also had an 8-kg (17.6-lb) weight loss and night sweats during this time. He appears pale. His vital signs are within normal limits. Physical examination shows hepatosplenomegaly. His leukocyte count is 78,000/mm3. A peripheral blood smear shows &gt; 80% neutrophils with band forms and immature and mature neutrophil precursors. A bone marrow biopsy shows hyperplasia with proliferation of all myeloid elements, and an increased leukocyte alkaline phosphatase activity. An x-ray of the chest shows an 8-mm nodule adjacent to the right lung hilum. Which of the following is the most likely cause of this patient's laboratory findings?
Options:
A. Acute myeloid leukemia
B. Acute lymphoblastic leukemia
C. Chronic myeloid leukemia
D. Leukemoid reaction
E. Tuberculosis
"
</t>
  </si>
  <si>
    <t>Answer: D  
Reasoning: The marked leukocytosis with a left shift, increased leukocyte alkaline phosphatase activity, and evidence of infection (lung nodule, night sweats, weight loss) are most consistent with a leukemoid reaction, not leukemia.  
Confidence: 95%</t>
  </si>
  <si>
    <t>Leukemoid reaction (Answer Index: D)</t>
  </si>
  <si>
    <t>CV_031</t>
  </si>
  <si>
    <t xml:space="preserve">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Which of the following is the most likely diagnosis?
Options:
A. Esophageal atresia
B. Esophageal stricture
C. Achalasia
D. Pulmonary hypoplasia
E. Defective swallowing reflex
</t>
  </si>
  <si>
    <t>Answer: A
Reasoning: The infant's symptoms of cyanosis that does not resolve with crying, foaming at the mouth, drooling, and intractable cough are classic for esophageal atresia, which prevents normal swallowing and passage of saliva.
Confidence: 100%</t>
  </si>
  <si>
    <t>Esophageal atresia (Answer Index: A)</t>
  </si>
  <si>
    <t>CV_032</t>
  </si>
  <si>
    <t xml:space="preserve">A 52-year-old man presents to the clinic with a headache and dizziness for the past month. The patient reports that about 4 weeks ago he developed a “nagging” headache. He thought he had a cold, so he tried over the counter ibuprofen that provided only mild and temporary relief. Recently, he also started feeling dizzy and nauseous, which only resolves when he steps outside to shovel the snow. The patient’s medical history is significant for hypertension, type II diabetes mellitus, and asthma. His medications include amlodipine, metformin, glimepiride, and a fluticasone/salmeterol inhaler. The patient has been living at his upstate cabin for the past 5 weeks but denies other recent travel. He denies smoking tobacco or illicit drug use. The patient’s temperature is 99°F (37.2°C), blood pressure is 130/78 mmHg, pulse is 72/min, and respirations are 16/min with an oxygen saturation of 98% on room air. The patient is currently asymptomatic while sitting in the office, and physical examination is unremarkable. Labs are drawn, as shown below:
Hemoglobin: 20 g/dL
Hematocrit: 60%
Leukocyte count: 10,050 cells/mm^3 with normal differential
Platelet count: 350,000/mm^3
Which of the following underlies the patient’s most likely diagnosis?
Options:
A. Medication side effect
B. Myeloproliferative neoplasm
C. Neuronal hyperexcitability
D. Toxic exposure
E. Viral infection
</t>
  </si>
  <si>
    <t>Answer: D  
Reasoning: The patient’s symptoms, polycythemia (elevated hemoglobin/hematocrit), and improvement with outdoor exposure suggest chronic carbon monoxide poisoning from a toxic exposure, likely due to poor ventilation in his cabin.  
Confidence: 100%</t>
  </si>
  <si>
    <t>Toxic exposure (Answer Index: D)</t>
  </si>
  <si>
    <t>CV_033</t>
  </si>
  <si>
    <t xml:space="preserve">A 27-year-old man presents to the emergency room with persistent fever, nausea, and vomiting for the past 3 days. While waiting to be seen, he quickly becomes disoriented and agitated. Upon examination, he has visible signs of difficulty breathing with copious oral secretions and generalized muscle twitching. The patient’s temperature is 104°F (40°C), blood pressure is 90/64 mmHg, pulse is 88/min, and respirations are 18/min with an oxygen saturation of 90% on room air. When the nurse tries to place a nasal cannula, the patient becomes fearful and combative. The patient is sedated and placed on mechanical ventilation. Which of the following is a risk factor for the patient’s most likely diagnosis?
Options:
A. Contaminated beef
B. Epiglottic cyst
C. Influenza vaccination
D. Mosquito bite
E. Spelunking
</t>
  </si>
  <si>
    <t>Answer: E
Reasoning: The patient's acute encephalopathy, hydrophobia, agitation, hypersalivation, and history suggest rabies encephalitis, for which spelunking (exposure to bats in caves) is a known risk factor.
Confidence: 100%</t>
  </si>
  <si>
    <t>Spelunking (Answer Index: E)</t>
  </si>
  <si>
    <t>CV_034</t>
  </si>
  <si>
    <t xml:space="preserve">A 38-year-old woman is brought to the emergency department because of three 1-hour episodes of severe, sharp, penetrating abdominal pain in the right upper quadrant. During these episodes, she has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test for occult blood is negative. Laboratory studies show:
Hemoglobin 12.5 g/dL
Leukocyte count 9,500 mm3
Platelet count 170,000 mm3
Serum
Total bilirubin 4.1 mg/dL
Alkaline phosphatase 348 U/L
AST 187 U/L
ALT 260 U/L
Abdominal ultrasonography shows a normal liver, a common bile duct caliber of 10 mm (normal &lt; 6 mm) and a gallbladder with multiple gallstones and no wall thickening or pericholecystic fluid. Which of the following is the most likely cause of these findings?"
Options:
A. Acute hepatitis A
B. Choledocholithiasis
C. Autoimmune hepatitis
D. Cholecystitis
E. Pancreatitis
"
</t>
  </si>
  <si>
    <t>Answer: B  
Reasoning: The patient has episodic right upper quadrant pain, scleral icterus, elevated bilirubin, transaminases, and alkaline phosphatase, and ultrasound shows a dilated common bile duct and gallstones, all consistent with choledocholithiasis (common bile duct stone).  
Confidence: 100%</t>
  </si>
  <si>
    <t>Choledocholithiasis (Answer Index: B)</t>
  </si>
  <si>
    <t>CV_035</t>
  </si>
  <si>
    <t xml:space="preserve">A 6-year-old boy is brought to the physician because he has a limp for 3 weeks. He was born at term and has been healthy since. His immunization are up-to-date; he received his 5th DTaP vaccine one month ago. He is at 50th percentile for height and weight. His temperature is 37°C (98.6°F), pulse is 80/min and respirations are 28/min. When asked to stand only on his right leg, the left pelvis sags. The remainder of the examination shows no abnormalities. Which of the following is the most likely cause of these findings?
Options:
A. L5 radiculopathy
B. Damage to the left inferior gluteal nerve
C. Spinal abscess
D. Damage to the right common peroneal nerve
E. Damage to the right superior gluteal nerve
</t>
  </si>
  <si>
    <t>Answer: E
Reasoning: A positive Trendelenburg sign (left pelvis sagging when standing on the right leg) indicates weakness of the right gluteus medius/minimus, which are innervated by the right superior gluteal nerve.
Confidence: 100%</t>
  </si>
  <si>
    <t>Damage to the right superior gluteal nerve (Answer Index: E)</t>
  </si>
  <si>
    <t>CV_036</t>
  </si>
  <si>
    <t xml:space="preserve">A 21-year-old G1P0 woman presents to the labor and delivery ward at 39 weeks gestation for elective induction of labor. She requests a labor epidural. An epidural catheter is secured at the L4-L5 space. She exhibits no hemodynamic reaction to lidocaine 1.5% with epinephrine 1:200,000. A continuous infusion of bupivacaine 0.0625% is started. After 5 minutes, the nurse informs the anesthesiologist that the patient is hypotensive to 80/50 mmHg with a heart rate increase from 90 bpm to 120 bpm. The patient is asymptomatic and fetal heart rate has not changed significantly from baseline. She says that her legs feel heavy but is still able to move them. What is the most likely cause of the hemodynamic change?
Options:
A. Bainbridge reflex
B. Intrathecal infiltration of local anesthetic
C. Local anesthetic systemic toxicity
D. Spinal anesthesia
E. Sympathetic blockade
</t>
  </si>
  <si>
    <t>Answer: E
Reasoning: The hypotension and compensatory tachycardia following epidural anesthesia are most consistent with sympathetic blockade due to the local anesthetic's effect on sympathetic fibers, leading to vasodilation and decreased systemic vascular resistance.
Confidence: 100%</t>
  </si>
  <si>
    <t>Sympathetic blockade (Answer Index: E)</t>
  </si>
  <si>
    <t>CV_037</t>
  </si>
  <si>
    <t xml:space="preserve">A 4-day-old newborn is presented to the physician because of a generalized rash for the past day. He was born at term. The mother had no prenatal care and has a history of gonorrhea, which was treated 4 years ago. The newborn is at the 50th percentile for head circumference, 60th percentile for length, and 55th percentile for weight. The vital signs include: temperature 36.8°C (98.2°F), pulse 152/min, and respirations 51/min. Examination shows an erythematous maculopapular rash and pustules with an erythematous base over the trunk and extremities, sparing the palms and soles. The remainder of the examination shows no abnormalities. Which of the following is the most likely diagnosis?
Options:
A. Acropustulosis
B. Congenital syphilis
C. Erythema toxicum
D. Milia
E. Pustular melanosis
</t>
  </si>
  <si>
    <t>Answer: C  
Reasoning: The description of an erythematous maculopapular rash and pustules with an erythematous base over the trunk and extremities, sparing the palms and soles, in a healthy newborn is classic for erythema toxicum neonatorum.  
Confidence: 100%</t>
  </si>
  <si>
    <t>Erythema toxicum (Answer Index: C)</t>
  </si>
  <si>
    <t>CV_038</t>
  </si>
  <si>
    <t xml:space="preserve">A 46-year-old man is brought to the emergency department for evaluation of altered mental status. He was found on the floor in front of his apartment. He is somnolent but responsive when aroused. His pulse is 64/min, respiratory rate is 15/min, and blood pressure is 120/75 mm Hg. On physical examination, an alcoholic smell and slurred speech are noted. Neurological exam shows diminished deep tendon reflexes bilaterally and an ataxic gait. His pupils are normal. Blood alcohol concentration is 0.04%. An ECG shows no abnormalities. Which of the following is the most likely cause of this patient's symptoms?
Options:
A. Hypoglycemia
B. Cerebral ischemia
C. Ethanol intoxication
D. Cannabis intoxication
E. Benzodiazepine intoxication
"
</t>
  </si>
  <si>
    <t>Answer: E  
Reasoning: The patient's CNS depression, ataxia, slurred speech, diminished reflexes, and low-normal vital signs with a low blood alcohol level and normal pupils are most consistent with benzodiazepine intoxication.  
Confidence: 95%</t>
  </si>
  <si>
    <t>Benzodiazepine intoxication
" (Answer Index: E)</t>
  </si>
  <si>
    <t>CV_039</t>
  </si>
  <si>
    <t xml:space="preserve">A 38-year-old man comes to the physician because of fever, malaise, productive cough, and left-sided chest pain for 2 weeks. During this time, he has woken up to a wet pillow in the morning on multiple occasions and has not been as hungry as usual. He was diagnosed with HIV infection 1 year ago. He currently stays at a homeless shelter. He has smoked one pack of cigarettes daily for 22 years. He has a history of intravenous illicit drug use. He drinks 5–6 beers daily. He is receiving combined antiretroviral therapy but sometimes misses doses. His temperature is 38.6°C (101.5°F), pulse is 106/min, and blood pressure is 125/85 mm Hg. Pulse oximetry on room air shows an oxygen saturation of 94%. Auscultation shows decreased breath sounds over the left base of the lung. There is dullness to percussion on the left lower part of the chest. Laboratory studies show:
Hemoglobin 14 g/dL
Leukocyte count 5,000/mm3
CD4+ T lymphocytes 240/mm3 (N &gt; 500)
Serum
Creatinine 0.9 mg/dL
γ-Glutamyltransferase (GGT) 65 U/L (N = 5–50)
Aspartate aminotransferase (AST) 15 U/L
Alanine aminotransferase (ALT) 19 U/L
Alkaline phosphatase 40 U/L
Lactate dehydrogenase (LDH) 50 U/L
An x-ray of the chest shows a left-sided pleural effusion and hilar lymphadenopathy. Analysis of the pleural fluid shows an effusion with lymphocyte-predominant leukocytosis, high protein, an LDH of 500 U/L, and high adenosine deaminase. Which of the following is the most likely cause of this patient's condition?"
Options:
A. Cirrhosis
B. Rheumatoid arthritis
C. Pneumocystis jirovecii pneumonia
D. Lung cancer
E. Pulmonary tuberculosis
"
</t>
  </si>
  <si>
    <t>Answer: E  
Reasoning: The patient has risk factors for tuberculosis (HIV, homelessness), chronic symptoms (fever, night sweats, weight loss), lymphocyte-predominant exudative pleural effusion with high adenosine deaminase, and hilar lymphadenopathy, all most consistent with pulmonary tuberculosis.  
Confidence: 100%</t>
  </si>
  <si>
    <t>Pulmonary tuberculosis
" (Answer Index: E)</t>
  </si>
  <si>
    <t>CV_040</t>
  </si>
  <si>
    <t xml:space="preserve">A 23-year-old man is brought to the emergency department by ambulance. The patient was found unconscious in his bedroom after a suicide attempt. The patient had cut his wrists using a kitchen knife. The patient is unresponsive and pale. His temperature is 96°F (35.6°C), blood pressure is 70/35 mmHg, pulse is 190/min, respirations are 19/min, and oxygen saturation is 92% on room air. Pressure is applied to his bilateral wrist lacerations. His Glasgow Coma Scale (GCS) is 7. A full trauma assessment is performed and reveals no other injuries. IV fluids are started as well as a rapid transfusion sequence. Norepinephrine is administered. Repeat vitals demonstrate that his blood pressure is 100/65 mmHg and pulse is 100/min. The patient is responsive and seems mildly confused. Resuscitation is continued and the patient's GCS improves to 15. Thirty minutes later, the patient's GCS is 11. His temperature is 103°F (39.4°C), blood pressure is 90/60 mmHg, pulse is 122/min, respirations are 22/min, and oxygen saturation is 99% on room air. The patient complains of flank pain. Laboratory values are ordered and demonstrate the following:
Hemoglobin: 9 g/dL
Hematocrit: 27%
Leukocyte count: 10,500 cells/mm^3 with normal differential
Haptoglobin: 11 mg/dL
Platelet count: 198,000/mm^3
Serum:
Na+: 139 mEq/L
Cl-: 101 mEq/L
K+: 4.4 mEq/L
HCO3-: 23 mEq/L
BUN: 27 mg/dL
Glucose: 99 mg/dL
Creatinine: 1.5 mg/dL
Ca2+: 10.0 mg/dL
Bilirubin: 3.2 mg/dL
AST: 22 U/L
ALT: 15 U/L
Which of the following describes the most likely diagnosis?
Options:
A. Non-cardiogenic acute lung injury
B. Decreased IgA levels
C. Major blood group incompatibility
D. Minor blood group incompatibility
E. Recipient antibody reaction against foreign leukocytes
</t>
  </si>
  <si>
    <t>Answer: C
Reasoning: The patient developed fever, hypotension, flank pain, and evidence of hemolysis (low haptoglobin, elevated bilirubin, acute kidney injury) shortly after transfusion, which is most consistent with an acute hemolytic transfusion reaction due to major blood group incompatibility (ABO incompatibility).
Confidence: 100%</t>
  </si>
  <si>
    <t>Major blood group incompatibility (Answer Index: C)</t>
  </si>
  <si>
    <t>CV_041</t>
  </si>
  <si>
    <t xml:space="preserve">A 39-year-old woman comes to the physician because of recurrent episodes of severe pain over her neck, back, and shoulders for the past year. The pain worsens with exercise and lack of sleep. Use of over-the-counter analgesics have not resolved her symptoms. She also has stiffness of the shoulders and knees and tingling in her upper extremities that is worse in the morning. She takes escitalopram for generalized anxiety disorder. She also has tension headaches several times a month. Her maternal uncle has ankylosing spondylitis. Examination shows marked tenderness over the posterior neck, bilateral mid trapezius, and medial aspect of the left knee. Muscle strength is normal. Laboratory studies, including a complete blood count, erythrocyte sedimentation rate, and thyroid-stimulating hormone are within the reference ranges. X-rays of her cervical and lumbar spine show no abnormalities. Which of the following is the most likely diagnosis?
Options:
A. Polymyalgia rheumatica
B. Fibromyalgia
C. Axial spondyloarthritis
D. Polymyositis
E. Major depressive disorder
</t>
  </si>
  <si>
    <t>Answer: B  
Reasoning: The patient's chronic widespread musculoskeletal pain, tenderness at specific points, normal labs, and lack of objective weakness are most consistent with fibromyalgia.  
Confidence: 100%</t>
  </si>
  <si>
    <t>Fibromyalgia (Answer Index: B)</t>
  </si>
  <si>
    <t>CV_042</t>
  </si>
  <si>
    <t xml:space="preserve">A 56-year-old African American woman comes to the physician because of frequent urination. For the past year, she has had to urinate multiple times every hour. She has been thirstier and hungrier than usual. She has not had any pain with urination. She has no time to exercise because she works as an accountant. Her diet mostly consists of pizza and cheeseburgers. Her vital signs are within normal limits. Physical examination shows no abnormalities. Today, her blood glucose level is 200 mg/dL and her hemoglobin A1c is 7.4%. Urinalysis shows microalbuminuria. Which of the following is the most likely cause of this patient's proteinuria?
Options:
A. Calcific sclerosis of glomerular arterioles
B. Increased glomerular filtration
C. Diffuse nodular glomerulosclerosis
D. Renal papillary necrosis
E. Loss of glomerular electrical charge
</t>
  </si>
  <si>
    <t>Answer: B  
Reasoning: This patient has early diabetic nephropathy, and microalbuminuria is due to increased glomerular filtration (hyperfiltration) in the initial stages of diabetic kidney disease.  
Confidence: 95%</t>
  </si>
  <si>
    <t>Increased glomerular filtration (Answer Index: B)</t>
  </si>
  <si>
    <t>CV_043</t>
  </si>
  <si>
    <t xml:space="preserve">A 64-year-old woman presents to the physician with fever and sore throat for 2 days. She was diagnosed with rheumatoid arthritis 15 years ago. She has had several flares necessitating admission to the hospital in recent years. She has developed deformity in her joints despite aggressive therapy. She is a candidate for surgical correction. Her temperature is 38.2°C (100.9°F), and the rest of her vital signs are stable. Physical examination of the hands reveals multiple swan-neck, boutonniere, and Z-line deformities. Ulnar deviation is evident in both hands. She has flat feet. There are 3 firm, nontender nodules palpated around the right elbow and one on the left Achilles tendon. The spleen is palpated 5 cm below the costal margin with a percussion span of 15 cm. Lymphadenopathy is absent on exam. The laboratory test results show:
Hemoglobin 11 g/dL
Mean corpuscular volume 90 μm3
Leukocyte count 3,500/mm3
Segmented neutrophils 20%
Lymphocytes 70%
Platelet count 240,000/mm3
Erythrocyte sedimentation rate 65 mm/hour
Rheumatoid factor 85 IU/mL (Normal: up to 14 IU/mL)
Which of the following is the most likely cause of this patient’s current condition?
Options:
A. Diffuse large B cell lymphoma
B. Felty syndrome
C. Sarcoidosis
D. Secondary amyloidosis
E. T cell large granular lymphocytic leukemia
</t>
  </si>
  <si>
    <t>Answer: B
Reasoning: The patient with long-standing, severe rheumatoid arthritis, splenomegaly, neutropenia, and rheumatoid nodules is presenting with classic features of Felty syndrome.
Confidence: 100%</t>
  </si>
  <si>
    <t>Felty syndrome (Answer Index: B)</t>
  </si>
  <si>
    <t>CV_044</t>
  </si>
  <si>
    <t xml:space="preserve">A 24-year-old man presents to the emergency department for bloody stools. The patient states that he has had bloody diarrhea for the past 3 days without improvement. He recently returned from a camping trip where he drank stream water and admits to eating undercooked meats which included beef, chicken, pork, and salmon. The patient's father died at age 40 due to colon cancer, and his mother died of breast cancer at the age of 52. The patient lives alone and drinks socially. The patient has unprotected sex with multiple male partners. His temperature is 98.3°F (36.8°C), blood pressure is 107/58 mmHg, pulse is 127/min, respirations are 12/min, and oxygen saturation is 99% on room air. Laboratory values are ordered as seen below.
Hemoglobin: 9.2 g/dL
Hematocrit: 29%
Leukocyte count: 9,500/mm^3 with normal differential
Platelet count: 87,000/mm^3
Lactate dehydrogenase: 327 IU/L
Haptoglobin: 5 mg/dL
Serum:
Na+: 139 mEq/L
Cl-: 100 mEq/L
K+: 5.9 mEq/L
HCO3-: 19 mEq/L
BUN: 39 mg/dL
Glucose: 99 mg/dL
Creatinine: 1.1 mg/dL
Ca2+: 10.2 mg/dL
Which of the following is the most likely cause of this patient's presentation?
Options:
A. Campylobacter jejuni
B. Colon cancer
C. Entamoeba histolytica
D. Escherichia coli
E. Giardia lamblia
</t>
  </si>
  <si>
    <t>Answer: D
Reasoning: The patient presents with bloody diarrhea, anemia, thrombocytopenia, elevated LDH, low haptoglobin, and acute kidney injury, consistent with hemolytic uremic syndrome (HUS), which is most commonly caused by Shiga toxin-producing Escherichia coli (E. coli), especially after eating undercooked beef.
Confidence: 100%</t>
  </si>
  <si>
    <t>Escherichia coli (Answer Index: D)</t>
  </si>
  <si>
    <t>CV_045</t>
  </si>
  <si>
    <t xml:space="preserve">Thirty minutes after delivery, a 1780-g (3-lb 15-oz) male newborn develops respiratory distress. He was born at 30 weeks' gestation via vaginal delivery. His temperature is 36.8C (98.2F), pulse is 140/min, respirations are 64/min, and blood pressure is 61/32 mm Hg. Pulse oximetry on room air shows an oxygen saturation of 90%. Examination shows pale extremities. Grunting and moderate subcostal retractions are present. Pulmonary examination shows decreased breath sounds bilaterally. Supplemental oxygen is administered. Ten minutes later, his pulse is 148/min and respirations are 66/min. Pulse oximetry on 60% oxygen shows an oxygen saturation of 90%. Which of the following is the most likely diagnosis?
Options:
A. Respiratory distress syndrome
B. Meconium aspiration syndrome
C. Tracheomalacia
D. Neonatal pneumonia
E. Tracheoesophageal fistula
</t>
  </si>
  <si>
    <t>Answer: A  
Reasoning: Premature infants (born at 30 weeks) are at high risk for respiratory distress syndrome due to surfactant deficiency, presenting with respiratory distress, hypoxemia, and poor response to supplemental oxygen shortly after birth.  
Confidence: 100%</t>
  </si>
  <si>
    <t>Respiratory distress syndrome (Answer Index: A)</t>
  </si>
  <si>
    <t>CV_046</t>
  </si>
  <si>
    <t xml:space="preserve">A 32-year-old woman, gravida 2, para 1, at 38 weeks' gestation comes to the emergency department because of vaginal bleeding for the past hour. The patient reports that she felt contractions prior to the onset of the bleeding, but the contractions stopped after the bleeding started. She also has severe abdominal pain. Her first child was delivered by lower segment transverse cesarean section because of a nonreassuring fetal heart rate. Her pulse is 110/min, respirations are 17/min, and blood pressure is 90/60 mm Hg. Examination shows diffuse abdominal tenderness with no rebound or guarding; no contractions are felt. The fetal heart rate shows recurrent variable decelerations. Which of the following is the most likely diagnosis?
Options:
A. Abruptio placentae
B. Vasa previa
C. Uterine rupture
D. Uterine inertia
E. Amniotic fluid embolism
</t>
  </si>
  <si>
    <t>Answer: C  
Reasoning: The patient has a history of prior cesarean section, sudden onset of vaginal bleeding, severe abdominal pain, loss of contractions, hypotension, and fetal distress, all of which are classic for uterine rupture.  
Confidence: 100%</t>
  </si>
  <si>
    <t>Uterine rupture (Answer Index: C)</t>
  </si>
  <si>
    <t>CV_047</t>
  </si>
  <si>
    <t xml:space="preserve">A 9-year-old girl is brought to the emergency department with a headache and double vision 1 hour after being hit on the head while playing with a friend. Her friend's elbow struck her head, just above her left ear. She did not lose consciousness, but her mother reports that she was confused for 20 minutes after the incident and did not recall being hit. She appears healthy. She is alert and oriented to person, place, and time. Her temperature is 37.2°C (99°F), pulse is 86/min, respirations are 15/min, and blood pressure is 118/78 mmHg. Examination shows the head tilted toward the right shoulder. A photograph of the eyes at primary gaze is shown. There is mild tenderness to palpation over the left temporal bone. Visual acuity is 20/20 in both eyes when tested independently. The patient's left eye hypertropia worsens with right gaze and when the patient tilts her head toward her left shoulder. The pupils are equal and reactive to light. Muscle strength and sensation are intact bilaterally. Deep tendon reflexes are 2+ bilaterally. Plantar reflex shows a flexor response. Which of the following is the most likely cause of this patient's ocular symptoms?
Options:
A. Oculomotor nerve damage
B. Retrobulbar hemorrhage
C. Trochlear nerve damage
D. Medial longitudinal fasciculus damage
E. Dorsal midbrain damage
</t>
  </si>
  <si>
    <t>Answer: C  
Reasoning: The patient has vertical diplopia, head tilt, and left eye hypertropia that worsens with right gaze and left head tilt, consistent with left trochlear nerve (CN IV) palsy, which innervates the superior oblique muscle.  
Confidence: 95%</t>
  </si>
  <si>
    <t>Trochlear nerve damage (Answer Index: C)</t>
  </si>
  <si>
    <t>CV_048</t>
  </si>
  <si>
    <t xml:space="preserve">A 14-year-old boy who has been otherwise healthy presents to his doctor complaining of feeling easily winded and light-headed at basketball practice. He has never felt this way before and is frustrated because he is good enough to make varsity this year. He denies smoking, alcohol, or recreational drug use. His mother is very worried because her oldest son and brother had both died suddenly while playing sports despite being otherwise healthy. The transthoracic echocardiogram confirms the suspected diagnosis, which demonstrates a preserved ejection fraction and systolic anterior motion of the mitral valve. The patient is advised that he will need to stay hydrated and avoid intense exercise, and he will likely need an ICD due to his family history. Which of the following physical exam findings is consistent with this patient’s most likely diagnosis?
Options:
A. S3 heart sound
B. Systolic ejection murmur that radiates to the carotids
C. Tricuspid regurgitation
D. Mitral regurgitation
E. Systolic ejection murmur that improves with the Valsalva maneuver
</t>
  </si>
  <si>
    <t>Answer: D
Reasoning: The clinical scenario describes hypertrophic cardiomyopathy (HCM), which is associated with a systolic murmur that increases with Valsalva and may have mitral regurgitation due to systolic anterior motion of the mitral valve.
Confidence: 100%</t>
  </si>
  <si>
    <t>Mitral regurgitation (Answer Index: D)</t>
  </si>
  <si>
    <t>CV_049</t>
  </si>
  <si>
    <t xml:space="preserve">A 62-year-old woman is seen in the hospital for neutropenic fever. She was admitted 1 week ago for newly diagnosed acute myeloid leukemia. Due to her chemotherapy, she became pancytopenic. Last night, during a packed red blood cell transfusion, she became febrile to 102.6°F (39.3°C), her blood pressure was 92/55, pulse was 112/min, respirations were 16/min, and oxygen saturation was 94% on room air. The transfusion was stopped, intravenous fluids were started, and blood cultures were drawn. The patient also complained of chest pain and shortness of breath. A chest radiograph was obtained and was normal. This morning, she reports “dark urine” but denies dysuria or abnormal vaginal discharge. Her prophylactic antimicrobials started at the time of her chemotherapy include acyclovir, levofloxacin, and fluconazole. The patient’s temperature this morning is 98.7°F (37.1°C), blood pressure is 110/72 mmHg, pulse is 88/min, and respirations are 17/min with an oxygen saturation of 95% on room air. On physical examination, she has 1+ pitting peripheral edema of bilateral lower extremities to the mid-shin. Her jugular venous pressure is 6 cm. Her labs show neutropenia, normocytic anemia, thrombocytopenia, elevated lactose dehydrogenase, elevated total bilirubin, and decreased haptoglobin. Coagulation studies show an increase in bleeding time with normal D-dimer levels. Which of the following is the most likely cause of the patient’s symptoms?
Options:
A. ABO incompatibility
B. Disseminated intravascular coagulation
C. Severe urosepsis
D. Transfusion associated circulatory overload
E. Transfusion related acute lung injury
</t>
  </si>
  <si>
    <t>Answer: A  
Reasoning: The patient developed fever, hypotension, chest pain, dyspnea, and dark urine during a transfusion, with labs showing hemolysis (elevated LDH, bilirubin, decreased haptoglobin), which is most consistent with an acute hemolytic transfusion reaction due to ABO incompatibility.  
Confidence: 95%</t>
  </si>
  <si>
    <t>ABO incompatibility (Answer Index: A)</t>
  </si>
  <si>
    <t>CV_050</t>
  </si>
  <si>
    <t xml:space="preserve">A 2-month-old infant is brought in by his mother for runny nose and cough. She reports he had an ear infection 2 weeks ago, and since then he has had a productive cough and nasal congestion. His medical history is significant for multiple ear infections and eczematous dermatitis. He has also been hospitalized for 2 episodes of severe viral bronchiolitis. The mother reports that the infant has a good appetite but has had intermittent, non-bloody diarrhea. The patient is at the 20th percentile for weight. On physical examination, the patient has widespread, dry, erythematous patches, mucopurulent nasal drip, and crusting of the nares. His tongue is coated by a thick white film which is easily scraped off. Crackles are heard at the left lung base. Labs are drawn, as shown below:
Hemoglobin: 12.8 g/dL
Platelets: 280,000/mm^3
Leukocytes: 7,500/mm^3
Neutrophils: 5,500/mm^3
Lymphocytes: 2,000/mm^3
Serum:
Na+: 138 mEq/L
Cl-: 96 mEq/L
K+: 4.3 mEq/L
HCO3-: 23 mEq/L
Urea nitrogen: 18 mg/dL
Glucose: 90 mg/dL
Creatinine: 1.0 mg/dL
Ca2+: : 9.2 mg/dL
Which of the following is the most likely cause of this patient’s presentation?
Options:
A. 22q11.2 deletion
B. Adenosine deaminase deficiency
C. Defective leukocyte adhesion
D. Defective tyrosine kinase
E. WAS gene mutation
</t>
  </si>
  <si>
    <t>Answer: D  
Reasoning: The infant has recurrent sinopulmonary and ear infections, eczema, oral thrush, and normal lymphocyte counts, suggesting X-linked agammaglobulinemia due to defective tyrosine kinase (Bruton's tyrosine kinase).  
Confidence: 90%</t>
  </si>
  <si>
    <t>Adenosine deaminase deficiency (Answer Index: B)</t>
  </si>
  <si>
    <t>few-shot</t>
  </si>
  <si>
    <t>Answer: A
Reasoning: This patient has recurrent urinary tract infections likely due to holding her urine at school, which she does because of intense fear of being judged or ridiculed by peers if she uses the bathroom. Her distress is out of proportion to the actual risk (as no one has ever made fun of her), and it causes significant impairment (recurrent UTIs, emotional distress). This pattern is characteristic of social anxiety disorder (also known as social phobia), which involves a marked fear of social situations where the individual may be scrutinized by others. "Social phobia performance only" is limited to performance situations (e.g., public speaking), not general social interactions. Panic disorder is characterized by recurrent unexpected panic attacks, which is not described here. Specific phobia would involve fear of a specific object or situation (e.g., heights, animals), and agoraphobia involves fear of situations where escape might be difficult, not social scrutiny.
Confidence: 90%</t>
  </si>
  <si>
    <t>Answer: D
Reasoning:  
This 4-year-old boy presents with developmental delay, tall stature (height &gt;99th percentile), low weight (15th percentile), long slender fingers (arachnodactyly), high-arched palate, bilateral inferior lens dislocation, and hyperextensible skin. The thumb and 5th finger overlapping when gripping the wrist (positive wrist sign) further supports a connective tissue disorder. The combination of developmental delay, marfanoid habitus, and especially **inferior lens dislocation** is classic for **homocystinuria**, most commonly due to cystathionine synthase deficiency. In contrast, Marfan syndrome (fibrillin-1 deficiency) also presents with marfanoid features and lens dislocation, but the lens typically dislocates superiorly, and developmental delay is not a feature. The hyperextensible skin could suggest Ehlers-Danlos (type V collagen deficiency), but the other features fit homocystinuria better. The other options do not fit the clinical picture.
Confidence: 95%</t>
  </si>
  <si>
    <t>Answer: D
Reasoning: The lesion described is a 0.5 cm papule on the eyelid with a pink, pearly appearance, rolled borders, and overlying telangiectasias. The patient has significant sun exposure history, fair skin, and the lesion has grown slowly over 6 months. These features are classic for basal cell carcinoma (BCC), which often presents as a pearly or translucent papule with rolled borders and telangiectasias, especially on sun-exposed areas in fair-skinned individuals. Other options do not fit as well: squamous cell carcinoma typically appears as a scaly or ulcerated nodule; keratoacanthoma is a rapidly growing, dome-shaped nodule; verrucous carcinoma is a rare, slow-growing variant of SCC; actinic keratosis is a premalignant, scaly lesion, not a pearly papule.
Confidence: 98%</t>
  </si>
  <si>
    <t>Answer: C
Reasoning:  
This elderly man with vascular risk factors (hypertension, diabetes, coronary artery disease) presents with acute-onset speech difficulty (expressive aphasia), right facial droop, and right-sided weakness. He is right-handed, so his language center is in the left hemisphere. His speech is non-fluent (short, simple sentences), with impaired repetition but preserved comprehension, suggesting Broca's aphasia. Broca's area is supplied by the superior division of the left middle cerebral artery (MCA). The right-sided weakness and facial droop are also consistent with a left MCA stroke. The other options do not fit: right-sided lesions would cause left-sided deficits, and posterior circulation strokes would not cause aphasia.
Confidence: 95%</t>
  </si>
  <si>
    <t>Answer: C
Reasoning:  
This patient presents with worsening dyspnea, nocturnal cough, and hemoptysis. He has a history of a childhood heart condition treated with antibiotics (suggesting rheumatic fever), and he is from Kazakhstan, where rheumatic heart disease is more prevalent. Pulmonary findings (crackles) and symptoms (orthopnea, hemoptysis) point to pulmonary congestion and elevated left atrial pressures. Mitral stenosis, a sequela of rheumatic fever, causes left atrial enlargement, pulmonary venous hypertension, and can lead to hemoptysis due to rupture of bronchial veins. The cardiac exam (not shown, but likely reveals a diastolic murmur with opening snap) would support this. Other options are less likely: mitral regurgitation and prolapse do not typically cause hemoptysis; aortic and tricuspid valve disease are less associated with this presentation and history.
Confidence: 95%</t>
  </si>
  <si>
    <t>Answer: E
Reasoning: This patient presents with pleuritic chest pain, fever, a pericardial friction rub, and diffuse ST elevations on ECG, all occurring several weeks after a myocardial infarction. These findings are classic for Dressler syndrome, which is an autoimmune-mediated pericarditis that typically develops 2–10 weeks after MI. The elevated troponin is mild and can be seen in pericarditis due to epicardial inflammation. Early infarct-associated pericarditis (option D) occurs within the first few days after MI, not weeks later. Cardiac tamponade (A) would present with hypotension, muffled heart sounds, and jugular venous distension. Constrictive pericarditis (B) is a chronic process. Reinfarction (C) would present with focal, not diffuse, ST changes and more significant troponin elevation.
Confidence: 95%</t>
  </si>
  <si>
    <t>Answer: C
Reasoning:  
This 4-year-old girl presents with a chronic (3-month) history of intermittent pain and swelling in multiple joints (knees, right ankle, right wrist), morning stiffness that improves with activity, and occasional mild eye pain. Physical exam reveals swollen, erythematous, and tender joints, and slit-lamp exam shows anterior chamber flare and iris inflammation (anterior uveitis). Labs show elevated ESR, positive ANA, and negative rheumatoid factor.
Oligoarticular juvenile idiopathic arthritis (JIA) is the most common subtype of JIA in young children, especially girls under 6. It typically involves ≤4 joints (often large joints like knees and ankles), presents with morning stiffness, and is associated with a high risk of asymptomatic uveitis (detected on slit-lamp exam). ANA positivity is common, and RF is usually negative. The chronicity, joint involvement, and uveitis fit this diagnosis best.
- A. Acute lymphocytic leukemia: Would expect systemic symptoms (fever, pallor, bruising, hepatosplenomegaly), cytopenias, and not chronic joint swelling with uveitis.
- B. Enthesitis-related arthritis: More common in older boys, involves entheses (tendon insertions), and is associated with HLA-B27.
- D. Postinfectious arthritis: Usually follows infection by days to weeks, is self-limited, and rarely lasts 3 months.
- E. Seronegative polyarticular JIA: Involves ≥5 joints in the first 6 months; this patient has 4 joints involved.
Confidence: 95%</t>
  </si>
  <si>
    <t>Answer: C
Reasoning: This patient presents with a classic "lucid interval" after head trauma—initial loss of consciousness, followed by a temporary recovery, then rapid deterioration with headache, nausea, vomiting, confusion, and loss of consciousness. This pattern is characteristic of an epidural hematoma, most commonly due to rupture of the middle meningeal artery after temporal bone fracture. The CT scan (not shown here) would typically reveal a biconvex (lens-shaped) hyperdensity. Subdural hematomas usually present with a crescent-shaped bleed and a more gradual onset. Subarachnoid hemorrhage presents with sudden severe headache ("worst headache of my life") but not with a lucid interval. Subgaleal hematoma and caput succedaneum are scalp injuries, not intracranial bleeds.
Confidence: 98%</t>
  </si>
  <si>
    <t>Answer: C
Reasoning:  
This patient in the ICU with recent intubation and mechanical ventilation now has sudden tachycardia, hypotension, and jugular venous distension. These findings are classic for acute obstructive shock, most likely due to tension pneumothorax, a known complication of mechanical ventilation. The best next step in management for suspected tension pneumothorax is immediate needle thoracostomy to relieve the pressure—this is a clinical diagnosis and should not be delayed for imaging. Chest radiograph (A) is not appropriate before decompression, FAST exam (B) is for trauma, thoracotomy (D) is not indicated, and tube thoracostomy (E) is definitive but should follow emergent needle decompression.
Confidence: 95%</t>
  </si>
  <si>
    <t>Answer: E
Reasoning:  
This patient is in her second trimester (28 weeks) and presents with vaginal bleeding and abdominal pain. On examination, there is a small amount of blood in the vaginal canal, but the cervical os is closed and fetal cardiac activity is present on ultrasound. In the context of pregnancy, a "threatened abortion" is defined as vaginal bleeding before 20 weeks gestation with a closed cervical os and a viable intrauterine pregnancy. Although this patient is slightly beyond 20 weeks, the clinical scenario most closely matches a threatened abortion, as there is no evidence of cervical dilation, passage of tissue, or fetal demise. The other options (complete, incomplete, inevitable, and missed abortion) involve either open cervical os, passage of tissue, or absence of fetal cardiac activity.
Confidence: 90%</t>
  </si>
  <si>
    <t>Answer: E
Reasoning: 
This patient presents with acute right flank pain, vomiting, fever, chills, leukocytosis, and urinalysis showing pyuria (WBCs 80–85/hpf), hematuria (RBCs 6–8/hpf), leukocyte esterase positivity, and mild proteinuria. These findings are classic for pyelonephritis, a bacterial infection of the kidney. The presence of costovertebral angle (flank) tenderness, systemic symptoms (fever, chills), and urinary findings strongly support this diagnosis. Ovarian torsion (A) is unlikely given her prior left-sided surgery and normal pelvic exam. Gastroenteritis (B) would not explain the urinary findings. Urethritis (C) typically presents with dysuria and minimal systemic symptoms, and pelvic inflammatory disease (D) would present with pelvic, not flank, pain and abnormal pelvic exam findings.
Confidence: 98%</t>
  </si>
  <si>
    <t>Answer: B
Reasoning:  
This patient’s presentation is classic for migraine headaches (severe, pulsatile, unilateral, associated with photophobia, nausea, and vomiting, with normal neuro exam and imaging). She requires prophylactic therapy due to frequent, disabling attacks. Propranolol (D) and valproic acid (C) are effective migraine prophylactics, but both are contraindicated in this patient: propranolol is contraindicated due to her severe asthma (beta-blockers can precipitate bronchospasm), and valproic acid is relatively contraindicated in patients with cardiovascular disease and has significant side effects. Amitriptyline (B), a tricyclic antidepressant, is an effective migraine prophylactic and is safe in patients with asthma and cardiovascular disease when used cautiously. Sumatriptan (A) and ibuprofen (E) are abortive, not prophylactic, treatments. Therefore, amitriptyline is the best choice.
Confidence: 90%</t>
  </si>
  <si>
    <t>Answer: D
Reasoning: This patient presents with significant unintentional weight loss, a markedly elevated leukocyte count (128,000/mm³), elevated LDH, uric acid, and B-12, and a history of symptoms such as cognitive difficulty and atrial fibrillation. The key diagnostic clue is the presence of the BCR-ABL translocation (Philadelphia chromosome), which is pathognomonic for chronic myelogenous leukemia (CML). The other options do not typically present with the Philadelphia chromosome. Acute leukemias (A and B) usually present with more acute symptoms and cytopenias, not the chronic, insidious course described here. Chronic lymphocytic leukemia (C) is not associated with the Philadelphia chromosome. Hairy cell leukemia (E) has a different clinical and laboratory profile.
Confidence: 99%</t>
  </si>
  <si>
    <t>Answer: C
Reasoning:  
This 32-year-old woman has a history of primary infertility, irregular menses since menarche, and now amenorrhea after stopping oral contraceptives. She has atrophic vaginal mucosa (suggesting hypoestrogenism), normal TSH and prolactin, and negative pregnancy test. Critically, her FSH is markedly elevated (56 mIU/mL) and estradiol is very low (&lt;18 pmol/L) on two separate occasions. This pattern—elevated FSH and low estradiol in a woman under 40—indicates primary ovarian insufficiency (POI), also known as premature ovarian failure. POI is defined by loss of ovarian function before age 40, leading to hypergonadotropic hypogonadism. Menopause (option E) is a normal physiologic process at average age ~51, not at 32. PCOS (A) typically shows normal or mildly elevated LH/FSH, not high FSH and low estradiol. Hyperprolactinemia (B) is ruled out by normal prolactin. Secondary ovarian insufficiency (D) would show low or inappropriately normal FSH/LH due to hypothalamic or pituitary dysfunction, not high FSH.
Confidence: 98%</t>
  </si>
  <si>
    <t>Answer: A
Reasoning: This patient presents with chronic fatigue, dyspnea, dry cough, bilateral hilar lymphadenopathy, hypercalcemia, and a history of arthritis, all of which are classic features of sarcoidosis. In sarcoidosis, noncaseating granulomas contain activated macrophages that express 1-alpha-hydroxylase, leading to increased conversion of 25-hydroxyvitamin D to 1,25-dihydroxyvitamin D3 (calcitriol). This results in increased intestinal absorption of calcium and subsequent hypercalcemia. There is no evidence of malignancy (which could cause PTHrP-mediated hypercalcemia), thiazide-induced hypercalcemia (her calcium is higher than typically seen with thiazides, and other features point to sarcoidosis), chronic kidney disease, or vitamin A toxicity.
Confidence: 95%</t>
  </si>
  <si>
    <t>Answer: D
Reasoning:  
This patient presents with acute onset chest pain, signs of heart failure (S3, rales, low-normal oxygen saturation), and a recent severe emotional stressor (loss of her husband). Her ECG is unremarkable, but echocardiography shows an enlarged left ventricle and left atrium. Takotsubo cardiomyopathy (also known as stress-induced or "broken heart" cardiomyopathy) is classically triggered by intense emotional or physical stress, leading to transient left ventricular dysfunction that mimics acute coronary syndrome but without significant ECG changes or coronary artery disease. The other options do not fit the acute, stress-related presentation or the echocardiographic findings.
Confidence: 95%</t>
  </si>
  <si>
    <t>Answer: A
Reasoning:  
This patient developed a rash after starting amoxicillin, which resolved after stopping the drug, but then developed fatigue, flank pain, fever, and acute kidney injury (elevated urea and creatinine). Urinalysis shows leukocyturia without bacterial growth, and Hansel’s stain reveals eosinophiluria. This constellation of findings—recent exposure to antibiotics (especially beta-lactams), fever, rash, renal dysfunction, sterile pyuria, and eosinophiluria—is classic for acute interstitial nephritis (AIN), a hypersensitivity reaction affecting the renal interstitium. The other options do not fit as well: acute glomerulonephritis would show hematuria and red cell casts; acute tubular necrosis is associated with muddy brown casts and typically follows ischemia or toxins; acute vascular injury would present differently; IgA nephropathy is associated with hematuria, often after an upper respiratory infection, not antibiotics.
Confidence: 98%</t>
  </si>
  <si>
    <t>Answer: D
Reasoning:  
This 65-year-old woman presents with a persistent cough, chest pain, and shortness of breath. Her history is notable for prior breast cancer, recent pneumonia, and significant secondhand smoke exposure. Importantly, her labs reveal hypercalcemia (serum Ca 12.2 mg/dL). Among lung cancers, squamous cell carcinoma is classically associated with paraneoplastic hypercalcemia due to secretion of parathyroid hormone-related peptide (PTHrP). Small cell carcinoma is more commonly associated with SIADH (hyponatremia) or ectopic ACTH production, not hypercalcemia. The subacute course, hypercalcemia, and risk factors (age, secondhand smoke, prior cancer) point toward squamous cell carcinoma. Bacterial or viral pneumonia is less likely given the duration, lack of fever, and hypercalcemia. Tuberculosis is possible but less likely without classic risk factors or findings, and it does not typically cause hypercalcemia to this degree.
Confidence: 90%</t>
  </si>
  <si>
    <t>Answer: A
Reasoning:  
This 2-day-old preterm infant presents with seizures, feeding difficulty, lethargy, jaundice, purpura, microcephaly (weight/length at 5th percentile, head circumference at 99th), chorioretinitis (posterior uveitis), sensorineural hearing loss (failed auditory screening), and cranial imaging showing hydrocephalus (ventricular dilatation) and intracranial calcifications (hyperechoic foci). These findings are classic for congenital toxoplasmosis, which is characterized by the triad of chorioretinitis, hydrocephalus, and intracranial calcifications. Other options do not fit the constellation of findings as well: congenital rubella typically presents with cataracts, PDA, and "blueberry muffin" rash; congenital syphilis with snuffles, rash, and bony findings; parvovirus with hydrops fetalis; and varicella with limb hypoplasia and cicatricial skin lesions.
Confidence: 98%</t>
  </si>
  <si>
    <t>Answer: A
Reasoning:  
The patient's history of progressive dry, scaling skin starting in childhood (after age 5), with no response to moisturizers, is most consistent with ichthyosis vulgaris. Ichthyosis vulgaris typically presents in childhood with dry, rough, scaly skin, often described as "fish scales," and is commonly seen on the extensor surfaces. Atopic dermatitis usually presents earlier in life and is associated with pruritus and flexural involvement. Psoriasis can present with scaling but usually has well-demarcated plaques and often involves the scalp, elbows, and knees. Miliaria is a sweat gland disorder presenting with small vesicles or papules, not chronic scaling. Seborrheic dermatitis (note: "suborrheic" is a misspelling) presents with greasy, yellowish scales, typically on the scalp and face.
Confidence: 95%</t>
  </si>
  <si>
    <t>Answer: B
Reasoning:  
This patient has a chronic productive cough for at least 3 months in each of the last 3 years, which is the classic definition of chronic bronchitis. She has a history of frequent exacerbations, persistent symptoms between exacerbations, and physical findings of cyanosis and coarse rhonchi. Her pulmonary function tests show an obstructive pattern (reduced FEV1, reduced FEV1/FVC ratio) with minimal reversibility after bronchodilator, which is typical for chronic bronchitis (a form of COPD). She is a non-smoker but has significant occupational exposure (cotton mill), which is a known risk factor. Asthma is less likely due to the lack of significant reversibility and persistent symptoms between exacerbations. Emphysema typically presents with less sputum production and more dyspnea. Idiopathic pulmonary fibrosis and extrinsic allergic alveolitis would show a restrictive pattern, not obstructive.
Confidence: 95%</t>
  </si>
  <si>
    <t>Answer: B
Reasoning:  
This 4-year-old boy presents with a progressive, non-confluent, pink maculopapular rash that started behind the ears and spread to the trunk and extremities, along with mild sore throat, conjunctivitis (red, itchy eyes), headache, and postauricular and suboccipital lymphadenopathy. He is an immigrant with unknown immunization status, increasing his risk for vaccine-preventable diseases. The key features pointing to rubella are the postauricular and suboccipital lymphadenopathy, the mild constitutional symptoms, and the rash that spreads from the face to the trunk and extremities. Measles typically presents with a confluent rash, higher fever, and more severe symptoms, and is associated with cough, coryza, and conjunctivitis, but the lymphadenopathy is less prominent. Scarlet fever is associated with a sandpaper rash and strawberry tongue, and erythema infectiosum (fifth disease) usually presents with a "slapped cheek" appearance. An allergic drug reaction is less likely given the timing and associated symptoms.
Confidence: 90%</t>
  </si>
  <si>
    <t>Answer: E
Reasoning:  
This elderly man has a history of multiple cerebrovascular events (left basal ganglia hemorrhage, right MCA infarct), vascular risk factors (diabetes, hypertension), and a stepwise progression of cognitive decline with acute worsening episodes (recent vision loss, now resolved, likely a TIA or amaurosis fugax). He also has focal neurologic deficits (right-sided weakness, hemiparetic gait, hyperreflexia, decreased tone), which are classic for vascular dementia. The absence of urinary incontinence and preserved ability to perform activities of daily living argue against normal-pressure hydrocephalus. Alzheimer's disease typically presents with gradual, not stepwise, decline and lacks focal neurologic findings. Frontotemporal dementia is characterized by early personality and behavioral changes, not prominent here. Lewy body dementia would present with visual hallucinations, parkinsonism, and fluctuating cognition, which are not described.
Confidence: 95%</t>
  </si>
  <si>
    <t>Answer: B
Reasoning: The patient presents with pain and swelling inferior to the eye near the lacrimal duct, with expressible pus on pressure. This is classic for dacrocystitis, which is an infection of the lacrimal sac (located inferomedially to the eye, near the lacrimal duct). The history of trauma may have predisposed him to infection, but the key findings are localized swelling, pain, and purulent discharge from the lacrimal area. An abscess (A) is possible but would not specifically localize to the lacrimal duct. A hordeolum (C) is a stye, usually at the eyelid margin. Orbital cellulitis (D) and periorbital cellulitis (E) would present with more diffuse swelling, erythema, and potentially systemic symptoms, and would not typically have expressible pus from the lacrimal duct.
Confidence: 95%</t>
  </si>
  <si>
    <t>Answer: E
Reasoning:  
This patient presents with a chronic, itchy, ulcerated, and weeping lesion involving the nipple-areolar complex, with yellow, occasionally blood-tinged discharge. The chronicity, location, and ulceration are classic for Paget disease of the breast, which is a manifestation of underlying ductal carcinoma in situ or invasive breast cancer. Paget disease typically presents as an eczematous, weeping, or ulcerated lesion of the nipple and areola, often mistaken for dermatitis or infection, but it does not respond to typical treatments for those conditions. The absence of breast masses, dimpling, or lymphadenopathy does not rule out Paget disease, as it often presents without a palpable mass. The other options (inflammatory breast cancer, mastitis, abscess, fibroadenoma) are less likely given the chronicity, lack of systemic symptoms, and the specific nipple-areolar involvement.
Confidence: 95%</t>
  </si>
  <si>
    <t>Answer: E
Reasoning: This patient has recurrent episodes of palpitations, sweating, facial blushing, and nausea that are triggered by social situations (being called on in class), leading to embarrassment and avoidance (skipping class, no longer jogging in the park). She is concerned about being negatively evaluated by others, which is characteristic of social anxiety disorder (social phobia). Her symptoms are not explained by normal shyness (which does not cause significant avoidance or functional impairment), nor do they fit avoidant personality disorder (which is more pervasive and longstanding). Generalized anxiety disorder involves excessive worry about multiple domains, not just social situations. Schizotypal personality disorder involves odd beliefs and eccentric behavior, which are not present here.
Confidence: 95%</t>
  </si>
  <si>
    <t>Answer: A
Reasoning: The question describes a primigravida woman with an uncomplicated pregnancy and regular prenatal care. The key to this question is interpreting the fetal heart rate tracing (Image A, which is not shown, but the context suggests a classic vignette). Among the options, fetal head compression is associated with early decelerations on fetal heart rate tracings. Early decelerations are gradual decreases in fetal heart rate that mirror uterine contractions and are considered benign, typically due to vagal stimulation from fetal head compression during contractions. Utero-placental insufficiency causes late decelerations, cord compression causes variable decelerations, fetal distress is a nonspecific term, and congenital heart block would show persistent bradycardia, not decelerations associated with contractions.
Confidence: 90%</t>
  </si>
  <si>
    <t>Answer: C
Reasoning: 
It is developmentally normal for a 4-year-old child to have an imaginary friend and to engage in pretend play, including acting out magical scenarios. This type of imaginative play is a common and healthy part of early childhood development. The presence of an imaginary friend at this age does not indicate a psychiatric disorder such as schizophrenia, schizoid personality disorder, or schizophreniform disorder. There is no evidence of developmental delay in the scenario described.
Confidence: 98%</t>
  </si>
  <si>
    <t>Answer: B
Reasoning:  
This infant was born to a mother with poorly controlled type II diabetes (elevated A1c, high glucose logs) and preeclampsia. The infant is large for gestational age (macrosomia), which is a classic finding in infants of diabetic mothers. The key features in the vignette are the infant’s jitteriness, hypothermia, lethargy, and poor feeding within the first hour of life. These are classic signs of neonatal hypoglycemia. In infants of diabetic mothers, maternal hyperglycemia leads to fetal hyperglycemia, which stimulates fetal pancreatic ß-cell hyperplasia and increased insulin production. After birth, the maternal glucose supply is abruptly cut off, but the infant’s pancreas continues to secrete high levels of insulin, resulting in hypoglycemia. The most likely cause of this infant’s symptoms is therefore ß-cell hyperplasia (option B), leading to persistent hyperinsulinemia and hypoglycemia.  
- Option A is incorrect because maternal insulin does not cross the placenta; it is the maternal glucose that crosses, stimulating fetal insulin production.
- Option C (neonatal sepsis) is less likely given the acute onset and classic risk factors for hypoglycemia.
- Option D (inborn error of metabolism) is less likely given the clear risk factors and timing.
- Option E (neonatal encephalopathy) is a consequence, not a cause, and there is no evidence of perinatal asphyxia.
Confidence: 98%</t>
  </si>
  <si>
    <t>Answer: D
Reasoning:  
This patient presents with constitutional symptoms (weight loss, night sweats, fatigue), marked leukocytosis (78,000/mm³), and a peripheral smear showing &gt;80% neutrophils with band forms and both immature and mature neutrophil precursors. Bone marrow biopsy reveals hyperplasia of all myeloid elements and increased leukocyte alkaline phosphatase (LAP) activity. The presence of hepatosplenomegaly and a lung nodule suggests a possible infectious or inflammatory process. The key distinguishing feature is the increased LAP activity, which is characteristic of a leukemoid reaction (a reactive, non-malignant increase in white blood cells, often due to infection or inflammation). In contrast, chronic myeloid leukemia (CML) typically shows decreased LAP activity. Acute leukemias (AML, ALL) would present with more blasts and less mature forms. Tuberculosis could cause constitutional symptoms and a lung nodule, but would not explain the specific hematologic findings. Therefore, the most likely cause is a leukemoid reaction.
Confidence: 90%</t>
  </si>
  <si>
    <t>Answer: A
Reasoning:  
The newborn presents with cyanosis that does not resolve with crying, foaming at the mouth, drooling, and intractable cough shortly after birth. These are classic signs of esophageal atresia, particularly with or without a tracheoesophageal fistula. The inability to pass oral secretions, persistent drooling, and respiratory distress (cyanosis, cough) are hallmark features. Cyanosis that does not improve with crying suggests an airway or esophageal abnormality rather than a cardiac or pulmonary cause. Esophageal stricture and achalasia are not neonatal conditions and would not present immediately after birth. Pulmonary hypoplasia would present with respiratory distress but not with excessive drooling or inability to clear secretions. A defective swallowing reflex is less likely to cause such severe symptoms immediately after birth.
Confidence: 95%</t>
  </si>
  <si>
    <t>Answer: D
Reasoning:  
This patient presents with a subacute headache, dizziness, and nausea that improve when he is outside, along with polycythemia (elevated hemoglobin and hematocrit). He has been living in a cabin during winter, which raises suspicion for carbon monoxide (CO) poisoning due to possible use of indoor heating sources (e.g., wood stove, gas heater) in a poorly ventilated space. CO poisoning can cause nonspecific symptoms such as headache, dizziness, and nausea, and is often worse indoors and improves outdoors. Chronic low-level exposure can lead to compensatory erythrocytosis (polycythemia) as the body attempts to increase oxygen-carrying capacity. The normal oxygen saturation on pulse oximetry does not rule out CO poisoning, as pulse oximeters cannot distinguish between oxyhemoglobin and carboxyhemoglobin. The absence of leukocytosis or thrombocytosis makes a myeloproliferative neoplasm less likely. There is no evidence of infection, medication side effect, or neuronal hyperexcitability. Therefore, the underlying cause is toxic exposure (carbon monoxide).
Confidence: 95%</t>
  </si>
  <si>
    <t>Answer: E
Reasoning:  
This patient presents with acute encephalopathy (disorientation, agitation), autonomic instability (fever, hypotension), hypersalivation, muscle twitching, and hydrophobia (fear and agitation when presented with water or oral/nasal procedures). These are classic features of rabies encephalitis. Spelunking (exploring caves) is a risk factor for rabies exposure due to contact with bats, which are common rabies vectors. The other options do not fit the clinical picture: contaminated beef is associated with prion disease, epiglottic cyst with airway obstruction, influenza vaccination is not a risk factor, and mosquito bite is associated with arboviral encephalitides, which do not typically cause hydrophobia or hypersalivation.
Confidence: 95%</t>
  </si>
  <si>
    <t>Answer: B
Reasoning:  
This patient presents with episodic severe right upper quadrant pain, nausea, vomiting, mild scleral icterus, and laboratory evidence of cholestasis (elevated total bilirubin, alkaline phosphatase, AST, and ALT). Her abdominal ultrasound shows a dilated common bile duct (10 mm, normal &lt;6 mm) and multiple gallstones, but no gallbladder wall thickening or pericholecystic fluid. The absence of fever, persistent pain, and peritoneal signs makes acute cholecystitis less likely. The combination of biliary colic, jaundice, and laboratory evidence of biliary obstruction (elevated bilirubin and ALP) with a dilated common bile duct is most consistent with choledocholithiasis (gallstones in the common bile duct). Her history of Crohn's disease with terminal ileum resection increases her risk for cholesterol gallstones due to bile salt malabsorption. Acute hepatitis and autoimmune hepatitis would not cause a dilated common bile duct or gallstones. Pancreatitis would present with epigastric pain radiating to the back and elevated amylase/lipase.
Confidence: 98%</t>
  </si>
  <si>
    <t>Answer: E
Reasoning:  
This child has a positive Trendelenburg sign (left pelvis sags when standing on the right leg), indicating weakness of the right hip abductor muscles (gluteus medius and minimus). These muscles are innervated by the superior gluteal nerve. Damage to the right superior gluteal nerve causes weakness of the right hip abductors, resulting in the pelvis sagging to the contralateral (left) side when standing on the affected (right) leg. The other options do not fit the clinical scenario: L5 radiculopathy would cause foot drop, inferior gluteal nerve damage affects hip extension, and peroneal nerve damage causes foot drop, not pelvic sagging. Spinal abscess would present with systemic symptoms and neurological deficits.
Confidence: 95%</t>
  </si>
  <si>
    <t>Answer: E
Reasoning: The patient developed hypotension and compensatory tachycardia shortly after initiation of a labor epidural with bupivacaine. She is able to move her legs, suggesting a partial rather than complete motor block. The most likely cause is sympathetic blockade from the epidural anesthetic, which leads to vasodilation and decreased systemic vascular resistance, resulting in hypotension. This is a well-known and common side effect of neuraxial anesthesia (epidural or spinal). There is no evidence of local anesthetic systemic toxicity (which would present with CNS or cardiac symptoms), nor is there evidence of intrathecal infiltration or high spinal anesthesia (which would cause more profound motor and sensory block, possibly respiratory compromise). The Bainbridge reflex is not relevant here.
Confidence: 98%</t>
  </si>
  <si>
    <t>Answer: C
Reasoning: The newborn presents with a generalized erythematous maculopapular rash and pustules with an erythematous base over the trunk and extremities, sparing the palms and soles, at 4 days of age. The baby is otherwise healthy, afebrile, and has normal growth parameters. Erythema toxicum neonatorum is a benign, self-limited rash that typically appears within the first week of life, characterized by erythematous macules, papules, and pustules, most commonly on the trunk and extremities, sparing the palms and soles. The absence of systemic symptoms and the classic distribution make this the most likely diagnosis. Congenital syphilis would be more likely to present with systemic findings and involvement of palms and soles. Milia are tiny white papules, not pustular. Pustular melanosis presents at birth and leaves hyperpigmented macules. Acropustulosis is rare and usually appears later.
Confidence: 95%</t>
  </si>
  <si>
    <t>Answer: E
Reasoning:  
This patient presents with altered mental status, somnolence, slurred speech, ataxia, diminished deep tendon reflexes, and an alcoholic odor. However, his blood alcohol concentration is only 0.04%, which is below the level typically associated with significant intoxication and CNS depression. His vital signs are stable, and his pupils are normal. The combination of CNS depression (somnolence, slurred speech, ataxia), normal pupils, and diminished reflexes is classic for benzodiazepine intoxication. Benzodiazepines can cause CNS depression similar to alcohol but without significant respiratory depression or pupillary changes. Hypoglycemia (A) would likely present with more severe symptoms and possibly autonomic instability. Cerebral ischemia (B) would likely have focal neurological deficits. Cannabis intoxication (D) does not cause this degree of CNS depression. Ethanol intoxication (C) is unlikely given the low blood alcohol level.
Confidence: 90%</t>
  </si>
  <si>
    <t>Answer: E
Reasoning:  
This patient with HIV (CD4+ count 240/mm³), subacute symptoms (fever, malaise, cough, night sweats, weight loss), and risk factors (homelessness, IV drug use, missed ART doses) presents with a lymphocyte-predominant, exudative pleural effusion with high protein, high LDH, and high adenosine deaminase (ADA) on pleural fluid analysis. Chest x-ray shows hilar lymphadenopathy and pleural effusion. These findings are classic for pulmonary tuberculosis (TB) with tuberculous pleuritis. High ADA in pleural fluid is a sensitive marker for TB. The other options do not fit the clinical or laboratory picture as well: cirrhosis causes transudative effusions, rheumatoid arthritis can cause exudative effusions but is less likely in this context, Pneumocystis jirovecii rarely causes effusions, and lung cancer is less likely given the subacute course and high ADA.
Confidence: 98%</t>
  </si>
  <si>
    <t>Answer: C
Reasoning:  
This patient developed acute symptoms (fever, hypotension, tachycardia, confusion, flank pain) within 30 minutes of a blood transfusion, after initial stabilization from hemorrhagic shock. Laboratory findings show anemia, elevated bilirubin, low haptoglobin, and acute kidney injury, all consistent with acute hemolysis. The rapid onset of symptoms, including fever, hypotension, and flank pain, strongly suggests an acute hemolytic transfusion reaction, most commonly due to major blood group (ABO) incompatibility. This is a type II hypersensitivity reaction in which preformed recipient antibodies attack donor red blood cells, leading to intravascular hemolysis. The findings do not fit non-cardiogenic lung injury (A), IgA deficiency (B), minor blood group incompatibility (D, which is usually less severe and delayed), or a reaction against leukocytes (E, which would cause febrile non-hemolytic transfusion reaction, not hemolysis).
Confidence: 98%</t>
  </si>
  <si>
    <t>Answer: B
Reasoning: This patient presents with chronic widespread musculoskeletal pain (neck, back, shoulders, knee), stiffness, and paresthesias, which are worse in the morning and exacerbated by exercise and poor sleep. She also has tenderness at specific soft tissue points (posterior neck, mid trapezius, medial knee), normal muscle strength, and normal laboratory and imaging studies. These findings are classic for fibromyalgia, a disorder characterized by widespread pain, fatigue, sleep disturbances, and cognitive symptoms, often with normal labs and exam except for tender points. Polymyalgia rheumatica (A) typically affects older adults and is associated with elevated ESR. Axial spondyloarthritis (C) would show imaging changes and is less likely with normal labs and exam. Polymyositis (D) presents with muscle weakness and elevated muscle enzymes. Major depressive disorder (E) can cause somatic symptoms but does not explain the specific tender points and normal mood is not described.
Confidence: 95%</t>
  </si>
  <si>
    <t>Answer: E
Reasoning:  
This patient has classic symptoms of diabetes mellitus (polyuria, polydipsia, polyphagia) with elevated blood glucose and hemoglobin A1c. The presence of microalbuminuria indicates early diabetic nephropathy. In the initial stages of diabetic nephropathy, the earliest renal abnormality is the loss of the negative electrical charge of the glomerular basement membrane, which normally repels negatively charged proteins like albumin. This loss allows albumin to leak into the urine, resulting in microalbuminuria. The other options describe later or less typical findings: calcific sclerosis (A) and nodular glomerulosclerosis (C) are later findings; increased GFR (B) occurs early but does not directly cause proteinuria; papillary necrosis (D) is a complication of severe diabetes but presents differently.
Confidence: 95%</t>
  </si>
  <si>
    <t>Answer: B
Reasoning:  
This patient with long-standing, severe rheumatoid arthritis (RA) presents with fever, sore throat, splenomegaly, neutropenia (low neutrophil count), and anemia. She also has classic RA deformities and rheumatoid nodules. The triad of RA, splenomegaly, and neutropenia is characteristic of Felty syndrome. The fever and sore throat are likely due to infection secondary to neutropenia. There is no evidence of lymphadenopathy or features suggestive of lymphoma (A), sarcoidosis (C), or amyloidosis (D). T cell large granular lymphocytic leukemia (E) can cause neutropenia and splenomegaly but is much less common and not typically associated with RA deformities and nodules.
Confidence: 98%</t>
  </si>
  <si>
    <t>Answer: D
Reasoning:  
This young man presents with acute bloody diarrhea, thrombocytopenia, anemia, elevated LDH, low haptoglobin, and acute kidney injury (elevated BUN, low HCO₃⁻, hyperkalemia). These findings are classic for hemolytic uremic syndrome (HUS), which is characterized by the triad of microangiopathic hemolytic anemia, thrombocytopenia, and acute renal failure. HUS most commonly follows infection with Shiga toxin-producing Escherichia coli (E. coli), particularly O157:H7, often acquired from undercooked beef or contaminated water. The history of eating undercooked meats and drinking stream water supports this. Campylobacter can cause bloody diarrhea but is not associated with HUS. Entamoeba histolytica and Giardia lamblia are protozoal causes of diarrhea, but they do not cause HUS. Colon cancer is unlikely in a 24-year-old and would not present acutely with these findings.
Confidence: 95%</t>
  </si>
  <si>
    <t>Answer: A
Reasoning:  
This preterm infant (30 weeks' gestation, low birth weight) developed respiratory distress shortly after birth, with signs including tachypnea, grunting, subcostal retractions, and hypoxemia that does not improve significantly with supplemental oxygen. These findings are classic for neonatal respiratory distress syndrome (RDS), which is caused by surfactant deficiency in premature infants. The decreased breath sounds bilaterally and persistent hypoxemia despite high-concentration oxygen further support this diagnosis. Meconium aspiration syndrome is more common in term or post-term infants, and the other options do not fit the clinical scenario as well.
Confidence: 95%</t>
  </si>
  <si>
    <t>Answer: C
Reasoning:  
This patient presents with sudden-onset vaginal bleeding, severe abdominal pain, hypotension (BP 90/60 mm Hg), tachycardia, and a history of prior cesarean section. She also reports that contractions stopped after the bleeding began, and the fetal heart tracing shows recurrent variable decelerations. On exam, her abdomen is diffusely tender, but no contractions are felt. The most likely diagnosis is uterine rupture, especially given her prior uterine surgery (cesarean section), which is a major risk factor. Uterine rupture typically presents with sudden abdominal pain, vaginal bleeding, cessation of contractions, fetal distress, and maternal hemodynamic instability. Abruptio placentae (A) usually presents with painful bleeding and a firm, tender uterus, but contractions typically persist. Vasa previa (B) presents with painless bleeding and fetal distress, but not severe maternal pain or hemodynamic instability. Uterine inertia (D) refers to inadequate uterine contractions, not acute bleeding or pain. Amniotic fluid embolism (E) presents with sudden cardiovascular collapse and DIC, not with the described findings.
Confidence: 95%</t>
  </si>
  <si>
    <t>Answer: C
Reasoning:  
This 9-year-old girl presents with vertical diplopia (double vision), head tilt, and hypertropia (upward deviation) of the left eye after trauma to the left temporal region. Her diplopia worsens with right gaze and with tilting her head toward the left shoulder. These findings are classic for a trochlear nerve (cranial nerve IV) palsy, which innervates the superior oblique muscle. The superior oblique muscle depresses and intorts the eye, especially in adduction. Trochlear nerve palsy causes vertical diplopia that worsens with looking down and toward the nose, and patients often compensate with a contralateral head tilt (here, to the right). The trauma likely caused a contusion or injury to the trochlear nerve, which is particularly vulnerable due to its long intracranial course. The other options do not fit the pattern of isolated vertical diplopia with compensatory head tilt and normal visual acuity.
Confidence: 95%</t>
  </si>
  <si>
    <t>Answer: D
Reasoning:  
This adolescent presents with exertional lightheadedness and a strong family history of sudden cardiac death during sports, which is highly suggestive of hypertrophic cardiomyopathy (HCM). The echocardiogram findings of preserved ejection fraction and systolic anterior motion (SAM) of the mitral valve further confirm HCM. On physical exam, HCM is classically associated with a harsh systolic ejection murmur best heard at the left sternal border, which increases with maneuvers that decrease preload (such as Valsalva or standing) and decreases with increased preload (such as squatting). SAM of the mitral valve can also cause mitral regurgitation, which may be heard as a holosystolic murmur at the apex.  
- S3 (A) is more typical of heart failure.  
- Systolic ejection murmur radiating to the carotids (B) is classic for aortic stenosis.  
- Tricuspid regurgitation (C) is not a feature of HCM.  
- Systolic ejection murmur that improves with Valsalva (E) is the opposite of HCM, where the murmur actually gets louder with Valsalva.  
Therefore, mitral regurgitation (D) due to SAM is the most consistent finding.
Confidence: 95%</t>
  </si>
  <si>
    <t>Answer: A
Reasoning:  
This patient developed fever, hypotension, tachycardia, chest pain, and shortness of breath during a blood transfusion, followed by dark urine, elevated LDH, elevated total bilirubin, and decreased haptoglobin. These findings are classic for acute hemolytic transfusion reaction, most commonly due to ABO incompatibility. The dark urine is due to hemoglobinuria from intravascular hemolysis. The elevated LDH and bilirubin, and decreased haptoglobin, further support hemolysis. The timing (during transfusion), rapid onset of symptoms, and laboratory evidence of hemolysis point to this diagnosis.  
- DIC (B) would show abnormal coagulation studies and elevated D-dimer, which are not present.
- Severe urosepsis (C) is unlikely given the absence of urinary symptoms and the temporal relationship to transfusion.
- TACO (D) would present with signs of volume overload and pulmonary edema, not hemolysis.
- TRALI (E) would present with acute hypoxemia and bilateral pulmonary infiltrates, not hemolysis.
Confidence: 98%</t>
  </si>
  <si>
    <t>Answer: D
Reasoning:  
This 2-month-old infant presents with recurrent ear infections, severe viral bronchiolitis, eczematous dermatitis, failure to thrive, and oral thrush. Labs show normal hemoglobin, platelets, and leukocyte counts, but the clinical picture is most consistent with an immunodeficiency. The combination of recurrent sinopulmonary infections (bacterial and viral), eczema, and thrush (fungal infection) suggests a combined immunodeficiency. The normal lymphocyte count does not rule out functional defects.
- **A. 22q11.2 deletion (DiGeorge syndrome):** Typically presents with cardiac defects, hypocalcemia, and absent thymic shadow, but not eczema or recurrent bacterial/viral infections to this degree.
- **B. Adenosine deaminase deficiency:** Causes severe combined immunodeficiency (SCID), but usually presents with profound lymphopenia, which is not seen here.
- **C. Defective leukocyte adhesion:** Presents with delayed umbilical cord separation and poor wound healing, not eczema or recurrent viral infections.
- **D. Defective tyrosine kinase (Bruton's agammaglobulinemia):** Presents in boys after 6 months (when maternal IgG wanes) with recurrent bacterial infections, but not eczema or severe viral infections. However, the age is a bit early, but the combination of recurrent infections and eczema is more suggestive of Wiskott-Aldrich syndrome.
- **E. WAS gene mutation (Wiskott-Aldrich syndrome):** Classic triad is eczema, recurrent infections (bacterial, viral, fungal), and thrombocytopenia (with small platelets). However, this patient does not have thrombocytopenia, but early in the disease, platelet counts can be normal. The combination of eczema, recurrent infections, and failure to thrive is most consistent with Wiskott-Aldrich syndrome.
Upon review, the best answer is **E. WAS gene mutation**, as it most closely fits the triad (eczema, recurrent infections, and possible early thrombocytopenia). However, the question asks for the "most likely cause," and the only tyrosine kinase defect listed is Bruton's (D), but the clinical picture is more consistent with Wiskott-Aldrich (E).
**Final Answer: E**
Confidence: 85%</t>
  </si>
  <si>
    <t>chain-of-thought</t>
  </si>
  <si>
    <t>Reasoning: The patient is experiencing significant distress and avoidance of using the school bathroom due to fear of negative evaluation and embarrassment by peers, which is impairing her functioning (leading to recurrent UTIs). This fear is not limited to performance situations (like public speaking), but rather to social situations where she may be scrutinized. Social anxiety disorder is characterized by a marked fear of social situations where the person may be exposed to possible scrutiny by others. Social phobia performance only is limited to performance situations, which does not fit this case. There is no evidence of panic attacks, specific phobia, or agoraphobia.
Answer: A
Confidence: 100%</t>
  </si>
  <si>
    <t>Reasoning:  
This boy has developmental delay, tall stature, long slender fingers (arachnodactyly), high-arched palate, and bilateral inferior lens dislocation. His thumb and fifth finger overlap when gripping his wrist (positive wrist sign), and he has hyperextensible skin. These features are classic for homocystinuria, which is caused by cystathionine synthase deficiency. Marfan syndrome (fibrillin 1 deficiency) can present similarly but typically has upward lens dislocation and does not cause developmental delay. The other options do not fit the constellation of findings.
Answer: D
Confidence: 100%</t>
  </si>
  <si>
    <t>Reasoning: The lesion described is a 0.5 cm papule on the eyelid with a pink, pearly appearance, rolled borders, and overlying telangiectasias. These are classic features of basal cell carcinoma (BCC). The patient's history of significant sun exposure, fair skin, and gradual growth of the lesion further support this diagnosis. Other options, such as squamous cell carcinoma or actinic keratosis, typically present differently (e.g., scaly, ulcerated, or keratotic lesions), and the description does not fit keratoacanthoma or verrucous carcinoma.
Answer: D
Confidence: 100%</t>
  </si>
  <si>
    <t>Reasoning: This patient has acute onset of speech difficulty, right facial droop, and right-sided weakness, suggesting a left hemisphere stroke (since the left hemisphere controls the right side of the body and language in right-handed individuals). His speech is nonfluent with impaired repetition but preserved comprehension, consistent with Broca's (expressive) aphasia, which is located in the left inferior frontal gyrus and supplied by the superior division of the left middle cerebral artery (MCA). The right MCA would cause left-sided deficits, and posterior circulation strokes (options D and E) would not cause aphasia. Penetrating artery occlusion (option A) would cause a lacunar stroke, typically presenting with pure motor or sensory deficits, not aphasia.
Answer: C
Confidence: 100%</t>
  </si>
  <si>
    <t>Reasoning: This patient has worsening dyspnea, nocturnal cough, and hemoptysis, which are classic symptoms of pulmonary congestion and elevated left atrial pressures. His history of a childhood heart condition treated with antibiotics suggests rheumatic fever, which commonly affects the mitral valve. The most common late sequela is mitral stenosis, especially in patients from countries where rheumatic fever is more prevalent (such as Kazakhstan). Mitral stenosis leads to increased left atrial pressure, pulmonary congestion, and the described symptoms. The cardiac exam likely shows a diastolic murmur with an opening snap, characteristic of mitral stenosis.
Answer: C
Confidence: 95%</t>
  </si>
  <si>
    <t>Reasoning: This patient presents with chest pain, fever, a pericardial friction rub, and diffuse ST elevations on ECG, all of which are classic for pericarditis. The timing—two months after an MI—suggests a post-MI complication. Dressler syndrome is an autoimmune-mediated pericarditis that typically occurs weeks to months after MI. Early infarct-associated pericarditis occurs within a few days of MI, not months later. There is no evidence of cardiac tamponade (no hypotension, JVD, or muffled heart sounds) or constrictive pericarditis (no chronic symptoms). Reinfarction would present with localized, not diffuse, ST changes and more significant troponin elevation.
Answer: E
Confidence: 100%</t>
  </si>
  <si>
    <t>Reasoning: This 4-year-old girl has a 3-month history of intermittent pain and swelling in multiple joints (knees, ankle, wrist), with morning stiffness that improves after a few minutes, and occasional mild eye pain. Physical exam shows swollen, erythematous, tender joints, and slit-lamp exam reveals anterior chamber flare and iris inflammation (suggesting uveitis). Labs show elevated ESR, positive ANA, and negative rheumatoid factor. The chronicity, age, joint involvement (≤4 joints), positive ANA, and uveitis are classic for oligoarticular juvenile idiopathic arthritis (JIA). Other options are less likely: ALL would have cytopenias, enthesitis-related arthritis is more common in older boys and involves entheses, postinfectious arthritis is more acute, and seronegative polyarticular JIA involves ≥5 joints.
Answer: C
Confidence: 100%</t>
  </si>
  <si>
    <t>Reasoning: The patient experienced a brief loss of consciousness after head trauma, followed by a lucid interval, and then rapid neurological deterioration (headache, nausea, vomiting, confusion, and loss of consciousness). This classic sequence is most characteristic of an epidural hematoma, often due to rupture of the middle meningeal artery after temporal bone trauma. The other options do not typically present with a lucid interval or this rapid progression. Subdural hematoma usually has a more gradual onset, and subarachnoid hemorrhage presents differently. Subgaleal hematoma and caput succedaneum are scalp injuries, not intracranial bleeds.
Answer: C
Confidence: 100%</t>
  </si>
  <si>
    <t>Reasoning: This patient with recent intubation and mechanical ventilation now has sudden tachycardia, hypotension, and jugular venous distension. These findings are highly suggestive of tension pneumothorax, a life-threatening complication of mechanical ventilation. The best next step is immediate decompression with needle thoracostomy, as waiting for imaging (chest radiograph or FAST exam) would delay life-saving treatment. Tube thoracostomy is definitive management but should follow emergent needle decompression. Thoracotomy is not indicated for tension pneumothorax.
Answer: C
Confidence: 100%</t>
  </si>
  <si>
    <t>Reasoning: The patient is in her second trimester (28 weeks) and presents with vaginal bleeding and abdominal pain. Her cervix is closed, and fetal cardiac activity is present on ultrasound. There is no mention of passage of tissue. In the context of a closed cervix and ongoing pregnancy, the most likely diagnosis is threatened abortion. The other options (complete, incomplete, inevitable, missed abortion) typically involve either an open cervix, passage of tissue, or absence of fetal cardiac activity.
Answer: E
Confidence: 100%</t>
  </si>
  <si>
    <t>Reasoning: This patient presents with fever, chills, right flank pain, vomiting, leukocytosis, and urinalysis showing pyuria (WBCs), hematuria (RBCs), leukocyte esterase, and mild proteinuria. These findings are most consistent with pyelonephritis, an upper urinary tract infection. The absence of pelvic exam abnormalities makes pelvic inflammatory disease less likely. Gastroenteritis would not explain the urinary findings. Ovarian torsion is unlikely given the normal pelvic exam and urinalysis findings. Urethritis typically presents with dysuria and would not cause flank pain, fever, or significant pyuria/hematuria.
Answer: E. Pyelonephritis
Confidence: 100%</t>
  </si>
  <si>
    <t>Reasoning: This patient has a history consistent with migraine headaches (severe, pulsatile, unilateral, photophobia, nausea/vomiting, recurrent). She requires prophylactic therapy due to frequent attacks. Propranolol (a beta-blocker) is commonly used for migraine prophylaxis, but it is contraindicated in patients with asthma and those with angina or recent MI. Amitriptyline and valproic acid are also effective for migraine prophylaxis. Amitriptyline is a tricyclic antidepressant, while valproic acid is an anticonvulsant. Given her cardiac history, amitriptyline can cause arrhythmias and is not ideal. Valproic acid is a good choice as it is effective and does not worsen asthma or cardiac disease. Sumatriptan and ibuprofen are abortive, not prophylactic, treatments.
Answer: C. Valproic acid
Confidence: 95%</t>
  </si>
  <si>
    <t>Reasoning: This patient presents with significant leukocytosis (WBC 128,000/mm³), elevated LDH, uric acid, and B-12, and a BCR-ABL translocation (Philadelphia chromosome). The Philadelphia chromosome is most strongly associated with chronic myelogenous leukemia (CML). The chronic phase of CML often presents with symptoms such as weight loss, fatigue, and splenomegaly, and can progress to an accelerated or blast phase. The presence of atrial fibrillation and cognitive difficulty may be related to hyperviscosity from extreme leukocytosis. The other leukemias listed do not typically feature the Philadelphia chromosome.
Answer: D
Confidence: 100%</t>
  </si>
  <si>
    <t>Reasoning: This young woman has a history of irregular menses, primary infertility, and now amenorrhea after stopping oral contraceptives. Her labs show markedly elevated FSH and very low estradiol on two occasions, with normal TSH and prolactin, and a negative pregnancy test. Physical exam reveals an atrophic vagina, suggesting hypoestrogenism. These findings are consistent with primary ovarian insufficiency (premature ovarian failure), which is defined as loss of ovarian function before age 40, with elevated gonadotropins and low estrogen. Menopause is similar but occurs after age 40. PCOS typically presents with normal or mildly elevated LH/FSH and normal or high estrogen. Hyperprolactinemia and secondary ovarian insufficiency would show low or normal FSH.
Answer: C
Confidence: 100%</t>
  </si>
  <si>
    <t>Reasoning: This patient presents with fatigue, dyspnea, dry cough, chronic constipation, and hypercalcemia. Her chest x-ray shows bilateral hilar lymphadenopathy, and she is an African-American woman with a history of arthritis. These findings are most consistent with sarcoidosis, a granulomatous disease. In sarcoidosis, activated macrophages in granulomas produce 1-alpha-hydroxylase, leading to increased conversion of 25-hydroxyvitamin D to 1,25-dihydroxyvitamin D3, which increases intestinal calcium absorption and causes hypercalcemia. There is no evidence of malignancy (PTHrP), thiazide-induced hypercalcemia is usually mild and she is already on thiazide but the other findings point to sarcoidosis, not the medication. Chronic kidney disease and vitamin A toxicity are not supported by the clinical scenario.
Answer: A
Confidence: 100%</t>
  </si>
  <si>
    <t>Reasoning: The patient presents with acute chest pain, signs of heart failure (S3, rales, low-normal blood pressure), and a recent severe emotional stressor (loss of her husband). Her ECG is unremarkable, but echocardiography shows an enlarged left ventricle and atrium. Takotsubo cardiomyopathy (stress-induced cardiomyopathy) is classically triggered by intense emotional or physical stress, mimics acute coronary syndrome, and is more common in middle-aged women. The other options do not fit the acute onset after emotional stress or the echocardiographic findings as well as Takotsubo cardiomyopathy.
Answer: D
Confidence: 100%</t>
  </si>
  <si>
    <t>Reasoning: This patient developed a rash after starting antibiotics (amoxicillin, then cephalexin), followed by fever, fatigue, flank pain, and acute kidney injury (elevated urea and creatinine). Urinalysis shows leukocyturia without bacterial growth, and Hansel’s stain reveals eosinophiluria. These findings are classic for acute interstitial nephritis (AIN), often caused by drug hypersensitivity (especially antibiotics). The absence of hematuria or red cell casts makes glomerulonephritis less likely, and the presence of eosinophils in urine is not typical for acute tubular necrosis, vascular injury, or IgA nephropathy.
Answer: A
Confidence: 100%</t>
  </si>
  <si>
    <t>Reasoning: This patient has a history of breast cancer, recent pneumonia, and now presents with persistent cough, chest pain, and shortness of breath. Her labs show hypercalcemia (serum Ca 12.2 mg/dL). Among lung cancers, squamous cell carcinoma is classically associated with hypercalcemia due to parathyroid hormone-related peptide (PTHrP) secretion. Small cell carcinoma is more often associated with SIADH or ACTH production, not hypercalcemia. The history and lab findings make infection (bacterial or viral pneumonia, tuberculosis) less likely, especially with the hypercalcemia. The most likely diagnosis is squamous cell carcinoma of the lung.
Answer: D
Confidence: 95%</t>
  </si>
  <si>
    <t>Reasoning: The newborn presents with seizures, feeding difficulty, lethargy, jaundice, purpura, microcephaly (small weight/length, large head circumference), chorioretinitis (posterior uveitis), hearing loss, and intracranial calcifications (hyperechoic foci on ultrasound). These findings, especially the triad of chorioretinitis, hydrocephalus (ventricular dilatation), and intracranial calcifications, are classic for congenital toxoplasmosis. Other options do not fit the constellation of findings as closely: rubella is associated with cataracts and heart defects, syphilis with snuffles and bone lesions, parvovirus with hydrops, and varicella with limb hypoplasia and cicatricial skin lesions.
Answer: A
Confidence: 100%</t>
  </si>
  <si>
    <t>Reasoning: The patient is a 13-year-old girl with a several-year history of dry, scaling skin that began around age 5 and has not responded to moisturizers. Ichthyosis vulgaris typically presents in childhood with dry, scaly skin, often described as "fish scales," and is chronic and persistent. Atopic dermatitis usually presents earlier in life and is associated with pruritus and flexural involvement. Psoriasis often presents with well-demarcated plaques and silvery scales, which is not described here. Miliaria is a transient condition related to sweat gland obstruction, and seborrheic dermatitis presents with greasy, yellowish scales, usually on the scalp and face. The chronic, progressive, and refractory nature of the scaling points most strongly to ichthyosis vulgaris.
Answer: A
Confidence: 95%</t>
  </si>
  <si>
    <t>Reasoning: This patient has a chronic productive cough for more than 3 months in each of the last 3 years, which is the classic definition of chronic bronchitis. She has a history of frequent exacerbations, persistent symptoms between exacerbations, and physical findings of cyanosis and coarse rhonchi. Her pulmonary function tests show an obstructive pattern (reduced FEV1, reduced FEV1/FVC ratio) with minimal reversibility after bronchodilator, which is more consistent with chronic bronchitis than asthma (which would show more reversibility). There is no evidence of restrictive lung disease (TLC is normal), and her occupational history and lack of constitutional symptoms make other options less likely.
Answer: B
Confidence: 100%</t>
  </si>
  <si>
    <t>Reasoning: The child has a progressive, non-confluent, pink maculopapular rash that started behind the ears and spread to the trunk and extremities, with associated postauricular and suboccipital lymphadenopathy. He also has mild prodromal symptoms (sore throat, conjunctivitis, headache), and his immunization status is unknown after recent immigration. These features are classic for rubella, which is characterized by a rash that spreads from the face to the body, tender lymphadenopathy (especially postauricular and suboccipital), and mild constitutional symptoms. Measles typically presents with a confluent rash, higher fever, and more severe symptoms, and is associated with Koplik spots. Scarlet fever presents with a sandpaper rash and strawberry tongue. Erythema infectiosum (fifth disease) usually has a "slapped cheek" appearance. Allergic drug reaction is less likely given the timing and associated findings.
Answer: B
Confidence: 95%</t>
  </si>
  <si>
    <t>Reasoning: This elderly man has a history of multiple cerebrovascular events (left basal ganglia hemorrhage, right MCA infarct) and vascular risk factors (diabetes, hypertension). His cognitive decline has been progressive over years but with recent acute worsening, which is characteristic of a stepwise decline seen in vascular dementia. He also has focal neurological deficits (right-sided weakness, hemiparetic gait, hyperreflexia), which further support a vascular etiology. The transient monocular vision loss (amaurosis fugax) suggests further vascular compromise. There is no mention of urinary incontinence or gait apraxia (as in normal-pressure hydrocephalus), nor are there features of Lewy body dementia (visual hallucinations, parkinsonism), frontotemporal dementia (personality/behavioral changes), or classic Alzheimer’s (gradual, global decline without focal deficits).
Answer: E
Confidence: 100%</t>
  </si>
  <si>
    <t>Reasoning: The patient presents with pain and swelling inferior to the eye near the lacrimal duct, with expressible pus on pressure. This location and the finding of pus suggest infection of the lacrimal sac, which is characteristic of dacrocystitis. An abscess is a general term and does not specify the anatomical location. A hordeolum is a localized infection of the eyelid glands, not near the lacrimal duct. Orbital and periorbital cellulitis would present with more diffuse swelling and potentially systemic symptoms, not localized pus at the lacrimal sac.
Answer: B
Confidence: 100%</t>
  </si>
  <si>
    <t>Reasoning: The patient presents with a 2-week history of an itchy, vesicular rash on the nipple that has progressed to a painful, ulcerated, weeping lesion with yellow, occasionally blood-tinged discharge. The lesion involves the nipple-areolar complex, but there are no breast masses, dimpling, or lymphadenopathy. Paget disease of the breast typically presents as an eczematous, ulcerated lesion of the nipple and areola, often with discharge, and can be mistaken for dermatitis or infection. The absence of systemic symptoms (fever, malaise) and lack of a palpable mass or abscess makes mastitis, abscess, and inflammatory breast cancer less likely. Fibroadenoma is a benign, non-ulcerative, non-inflammatory mass.
Answer: E
Confidence: 95%</t>
  </si>
  <si>
    <t>Reasoning: This patient has recurrent episodes of palpitations, sweating, blushing, and nausea that are triggered by social situations, specifically when she is called on to speak in class. She is avoiding these situations due to fear of embarrassment and concern that others will notice her symptoms. This pattern is most consistent with social anxiety disorder, which is characterized by marked fear or anxiety about social situations where the person may be scrutinized by others, leading to avoidance and functional impairment. Normal shyness does not cause this level of avoidance or distress. Generalized anxiety disorder involves excessive worry about multiple areas, not just social situations. Avoidant personality disorder is more pervasive and begins earlier in life. Schizotypal personality disorder involves odd beliefs and behavior, which are not described here.
Answer: E
Confidence: 100%</t>
  </si>
  <si>
    <t>Reasoning: The question describes a primigravida woman with an uncomplicated pregnancy and asks about the most likely cause of a fetal heart rate tracing finding (Image A). While the image is not provided, the question is testing knowledge of common fetal heart rate tracing patterns and their causes. The most common causes are: early decelerations (fetal head compression), late decelerations (utero-placental insufficiency), variable decelerations (cord compression), and sinusoidal patterns (fetal distress or anemia). In a healthy, uncomplicated pregnancy, the most likely benign cause is early decelerations due to fetal head compression, especially in a primigravida in labor.
Answer: A
Confidence: 90%</t>
  </si>
  <si>
    <t>Reasoning: At age 4, it is common and developmentally appropriate for children to have vivid imaginations, including imaginary friends and magical thinking. These behaviors are not indicative of psychiatric illness in this age group. Schizophrenia and related disorders are extremely rare in young children and would typically present with more severe and impairing symptoms. There is no evidence of developmental delay or personality disorder in the vignette. Thus, the most likely explanation is normal development.
Answer: C
Confidence: 100%</t>
  </si>
  <si>
    <t>Reasoning: This infant was born to a mother with poorly controlled type II diabetes (high HbA1c, elevated glucose logs) and is large for gestational age. The infant is now jittery, hypothermic, hypotensive, tachypneic, and lethargic, with poor feeding and shaking episodes—classic signs of neonatal hypoglycemia. In infants of diabetic mothers, maternal hyperglycemia leads to fetal hyperinsulinemia due to pancreatic β-cell hyperplasia. After birth, the maternal glucose supply is abruptly cut off, but the infant’s insulin remains high, causing hypoglycemia. The most likely cause is thus β-cell hyperplasia (option B), not direct action of maternal insulin (which does not cross the placenta). There is no evidence of sepsis, inborn error, or encephalopathy in the vignette.
Answer: B
Confidence: 100%</t>
  </si>
  <si>
    <t>Reasoning: This patient has marked leukocytosis with a left shift (immature and mature neutrophil precursors), hepatosplenomegaly, and constitutional symptoms. The bone marrow shows hyperplasia of all myeloid elements, and importantly, there is increased leukocyte alkaline phosphatase (LAP) activity. Chronic myeloid leukemia (CML) also presents with similar findings, but LAP is typically low in CML. A leukemoid reaction, which is a reactive process (often due to infection or malignancy), can present with high leukocyte counts, left shift, and increased LAP. The presence of a lung nodule suggests a possible underlying infection or malignancy causing a reactive process. Thus, the most likely cause is a leukemoid reaction.
Answer: D  
Confidence: 95%</t>
  </si>
  <si>
    <t>Reasoning: The newborn has persistent cyanosis, foaming at the mouth, drooling, and an intractable cough that does not resolve with crying. These findings are classic for esophageal atresia, particularly with a tracheoesophageal fistula, which prevents normal swallowing and leads to accumulation of secretions. The inability to clear secretions and the presence of respiratory distress immediately after birth are key clues. The other options do not typically present with these acute, severe symptoms in the immediate neonatal period.
Answer: A
Confidence: 100%</t>
  </si>
  <si>
    <t>Reasoning: This patient presents with a subacute headache, dizziness, and nausea that improve when he goes outside, along with polycythemia (elevated hemoglobin and hematocrit). He has been living in a cabin during winter, which raises suspicion for carbon monoxide (CO) exposure from indoor heating sources. CO poisoning can cause nonspecific symptoms and leads to tissue hypoxia, which stimulates erythropoietin production and secondary polycythemia. The improvement of symptoms when outside further supports toxic exposure as the underlying cause.
Answer: D
Confidence: 100%</t>
  </si>
  <si>
    <t>Reasoning: This patient presents with acute onset of fever, altered mental status, agitation, hypersalivation, muscle twitching, and hydrophobia (fear and agitation with attempts to administer fluids or air via nasal cannula). These are classic signs of encephalitic (furious) rabies. Rabies is transmitted by exposure to infected animal saliva, often through bites. Spelunking (cave exploration) is a risk factor because bats, which can carry rabies, inhabit caves and may bite or scratch humans. The other options do not fit the clinical picture or are not risk factors for rabies.
Answer: E
Confidence: 100%</t>
  </si>
  <si>
    <t>Reasoning: This patient has episodic severe right upper quadrant pain, nausea, vomiting, and mild scleral icterus, with laboratory evidence of cholestasis (elevated total bilirubin, alkaline phosphatase, AST, and ALT). Ultrasound shows a dilated common bile duct and gallstones, but no gallbladder wall thickening or pericholecystic fluid, making cholecystitis less likely. Her history of terminal ileum resection (Crohn's disease) increases her risk for cholesterol gallstones. The most likely cause is choledocholithiasis (gallstone in the common bile duct), which explains the biliary obstruction, episodic pain, jaundice, and lab findings. Acute hepatitis and autoimmune hepatitis would not cause a dilated bile duct or gallstones, and pancreatitis would present with epigastric pain and elevated amylase/lipase.
Answer: B
Confidence: 100%</t>
  </si>
  <si>
    <t>Reasoning: The key finding is a positive Trendelenburg sign (left pelvis sags when standing on the right leg), indicating weakness of the right hip abductor muscles (gluteus medius and minimus). These muscles are innervated by the right superior gluteal nerve. There are no signs of infection, fever, or neurological deficits elsewhere, making spinal abscess or radiculopathy less likely. The inferior gluteal nerve innervates the gluteus maximus, which is not primarily responsible for pelvic stabilization during single-leg stance. The common peroneal nerve affects the lower leg, not the hip abductors.
Answer: E
Confidence: 100%</t>
  </si>
  <si>
    <t>Reasoning: The patient developed hypotension and tachycardia shortly after starting a labor epidural with bupivacaine. She is able to move her legs, suggesting the block is not excessively high or dense. The most common cause of hypotension after epidural anesthesia is sympathetic blockade, which leads to vasodilation and decreased systemic vascular resistance. The absence of symptoms of local anesthetic toxicity (e.g., CNS or cardiac symptoms), no evidence of a high spinal block (she can move her legs), and no signs of the Bainbridge reflex make these other options less likely.
Answer: E. Sympathetic blockade
Confidence: 100%</t>
  </si>
  <si>
    <t>Reasoning: The newborn is 4 days old with a generalized erythematous maculopapular rash and pustules on the trunk and extremities, sparing the palms and soles. The baby is otherwise well-appearing, afebrile, and has normal growth parameters. Erythema toxicum neonatorum is a benign, self-limited rash that typically appears within the first week of life, presenting as erythematous macules, papules, and pustules, most commonly on the trunk and extremities, and characteristically spares the palms and soles. There are no systemic symptoms or findings to suggest congenital infection (such as syphilis), and the distribution and appearance are not consistent with the other options.
Answer: C
Confidence: 100%</t>
  </si>
  <si>
    <t>Reasoning: The patient presents with altered mental status, somnolence, slurred speech, ataxia, and diminished deep tendon reflexes. Although he has an alcoholic smell, his blood alcohol concentration is only 0.04%, which is below the level typically associated with significant intoxication and neurological impairment. His vital signs are stable, and there are no ECG abnormalities. The combination of CNS depression, ataxia, and diminished reflexes is classic for benzodiazepine intoxication, which can mimic alcohol intoxication but with a low or absent blood alcohol level. Cannabis intoxication does not typically cause these neurological findings, and hypoglycemia or cerebral ischemia would likely present with more severe or focal deficits.
Answer: E
Confidence: 95%</t>
  </si>
  <si>
    <t>Reasoning: This patient with HIV (CD4+ count 240), fever, night sweats, weight loss, productive cough, and pleuritic chest pain has a subacute presentation. He is at risk for opportunistic infections and tuberculosis due to his immunosuppression and social risk factors (homelessness, IV drug use). The chest x-ray shows a pleural effusion and hilar lymphadenopathy. Pleural fluid analysis reveals a lymphocyte-predominant exudate with high protein, high LDH, and high adenosine deaminase (ADA)—a classic finding in tuberculous pleural effusion. Other options (cirrhosis, RA, PJP, lung cancer) do not typically present with this constellation of findings, especially the high ADA and lymphocytic exudate.
Answer: E
Confidence: 100%</t>
  </si>
  <si>
    <t>Reasoning: This patient developed fever, hypotension, tachycardia, decreased GCS, and flank pain within 30 minutes of receiving a blood transfusion. Laboratory findings show anemia, elevated bilirubin, low haptoglobin, and acute kidney injury, all consistent with acute hemolysis. The most likely cause is an acute hemolytic transfusion reaction, which is due to major blood group incompatibility (ABO mismatch), leading to intravascular hemolysis. This is a life-threatening reaction that occurs rapidly after transfusion. The other options do not fit the timing or clinical/lab findings.
Answer: C
Confidence: 100%</t>
  </si>
  <si>
    <t>Reasoning: This patient has chronic widespread musculoskeletal pain, tenderness at specific points (posterior neck, trapezius, knee), morning stiffness, and normal labs and imaging. Her symptoms are worsened by exercise and poor sleep, and she has associated anxiety and headaches. There is no evidence of inflammatory markers, muscle weakness, or radiographic changes. These features are most consistent with fibromyalgia. Polymyalgia rheumatica and polymyositis would show elevated inflammatory markers and muscle weakness, respectively. Axial spondyloarthritis would show radiographic changes and is less likely with normal imaging and labs. Major depressive disorder can cause somatic symptoms but does not explain the specific tender points and normal mood is not described.
Answer: B
Confidence: 100%</t>
  </si>
  <si>
    <t>Reasoning: This patient has classic symptoms of diabetes mellitus (polyuria, polydipsia, polyphagia) and laboratory evidence of hyperglycemia and elevated hemoglobin A1c. Microalbuminuria is an early sign of diabetic nephropathy. The earliest pathophysiologic change in diabetic nephropathy is increased glomerular filtration (hyperfiltration) due to glomerular hypertension, which leads to microalbuminuria. Other options, such as diffuse nodular glomerulosclerosis (Kimmelstiel-Wilson nodules), occur later in the disease. Loss of glomerular electrical charge also contributes, but increased glomerular filtration is the earliest and most likely cause at this stage.
Answer: B  
Confidence: 95%</t>
  </si>
  <si>
    <t>Reasoning: This patient with long-standing, severe rheumatoid arthritis presents with fever, sore throat, splenomegaly, neutropenia (low neutrophil count), and anemia. She also has rheumatoid nodules and high ESR and rheumatoid factor. The triad of rheumatoid arthritis, splenomegaly, and neutropenia is classic for Felty syndrome. There is no evidence of lymphoma (no lymphadenopathy, no B symptoms), sarcoidosis (no pulmonary findings), amyloidosis (no nephrotic syndrome or organ dysfunction), or T cell large granular lymphocytic leukemia (which is rare and would not explain the full triad as well as Felty syndrome).
Answer: B
Confidence: 100%</t>
  </si>
  <si>
    <t>Reasoning: This young man presents with acute bloody diarrhea after consuming undercooked meats and drinking stream water. He is tachycardic and hypotensive, with laboratory findings of anemia, thrombocytopenia, elevated LDH, low haptoglobin, and acute kidney injury (elevated BUN, low-normal creatinine, hyperkalemia, low bicarbonate). These findings are consistent with microangiopathic hemolytic anemia and thrombocytopenia, suggesting hemolytic uremic syndrome (HUS). HUS is most commonly caused by Shiga toxin-producing Escherichia coli (especially E. coli O157:H7) after ingestion of undercooked beef or contaminated water. The other options are less likely to cause this triad of symptoms and lab findings.
Answer: D
Confidence: 100%</t>
  </si>
  <si>
    <t>Reasoning: This preterm infant (30 weeks, 1780 g) developed respiratory distress soon after birth, with tachypnea, grunting, subcostal retractions, and hypoxemia that does not improve significantly with high-concentration oxygen. These findings are classic for neonatal respiratory distress syndrome (RDS), which is due to surfactant deficiency in premature infants. Meconium aspiration is unlikely in a preterm infant and typically occurs in term or post-term infants. Tracheomalacia and tracheoesophageal fistula would present differently and not with diffuse decreased breath sounds and hypoxemia. Neonatal pneumonia is possible but less likely without fever or risk factors, and the clinical picture fits RDS best.
Answer: A
Confidence: 100%</t>
  </si>
  <si>
    <t>Reasoning: This patient presents with late-pregnancy vaginal bleeding, severe abdominal pain, hypotension, tachycardia, and a history of prior cesarean section. She had contractions that stopped after the bleeding began, and now has a tender, non-contracting uterus. The fetal heart tracing shows recurrent variable decelerations, suggesting fetal distress. The history of prior uterine surgery (cesarean) increases the risk of uterine rupture, which can present with sudden pain, bleeding, cessation of contractions, and fetal distress. Abruptio placentae usually presents with painful bleeding and a firm, contracted uterus, but contractions typically persist. Vasa previa presents with painless bleeding and rapid fetal compromise, but not severe maternal pain or uterine tenderness. Uterine inertia is failure of the uterus to contract, not associated with bleeding or pain. Amniotic fluid embolism presents with sudden cardiovascular collapse and DIC, not focal abdominal pain or uterine tenderness.
Answer: C
Confidence: 100%</t>
  </si>
  <si>
    <t>Reasoning: This 9-year-old girl presents with vertical diplopia (double vision), head tilt, and left eye hypertropia (upward deviation), which worsens with right gaze and left head tilt. These findings are classic for trochlear nerve (cranial nerve IV) palsy, which innervates the superior oblique muscle. The superior oblique depresses and intorts the eye, especially in adduction. Trauma to the temporal region can injure the trochlear nerve, leading to these symptoms. The oculomotor nerve (CN III) palsy would cause ptosis and a "down and out" eye, not isolated hypertropia. Retrobulbar hemorrhage would cause proptosis and vision loss. Medial longitudinal fasciculus damage causes internuclear ophthalmoplegia, and dorsal midbrain damage causes vertical gaze palsy, neither of which fit this presentation.
Answer: C
Confidence: 100%</t>
  </si>
  <si>
    <t>Reasoning:  
This adolescent presents with exertional symptoms, a family history of sudden cardiac death, and echocardiogram findings of preserved ejection fraction and systolic anterior motion (SAM) of the mitral valve. These findings are classic for hypertrophic cardiomyopathy (HCM). HCM is associated with a harsh systolic ejection murmur that increases with maneuvers that decrease preload (like Valsalva), due to increased outflow tract obstruction. The murmur does not radiate to the carotids (unlike aortic stenosis), and S3 is more typical of heart failure. Mitral regurgitation can occur but is not the most classic finding. The murmur of HCM worsens (not improves) with Valsalva.
Answer: E. Systolic ejection murmur that improves with the Valsalva maneuver
Confidence: 95%</t>
  </si>
  <si>
    <t>Reasoning: This patient developed fever, hypotension, chest pain, and shortness of breath during a blood transfusion, followed by dark urine, elevated LDH, elevated bilirubin, and decreased haptoglobin. These findings are classic for acute hemolytic transfusion reaction, most commonly due to ABO incompatibility. The presence of hemolysis (dark urine, elevated LDH, indirect hyperbilirubinemia, low haptoglobin) and the timing during transfusion support this. DIC (B) would show abnormal coagulation and D-dimer, which are not present. Urosepsis (C) is unlikely without urinary symptoms and with a clear temporal relationship to transfusion. TACO (D) and TRALI (E) would present with respiratory distress and abnormal chest imaging, which she does not have.
Answer: A
Confidence: 100%</t>
  </si>
  <si>
    <t>Reasoning:  
This 2-month-old has recurrent ear infections, severe viral bronchiolitis, persistent productive cough, eczema, oral thrush, and intermittent diarrhea. Labs show normal neutrophils and lymphocytes, and no cytopenias. The combination of recurrent sinopulmonary and ear infections, eczema, and thrush suggests an immunodeficiency. The most likely is X-linked (Bruton) agammaglobulinemia (defective tyrosine kinase), but this typically presents after 6 months, and with absent lymphocytes. Wiskott-Aldrich syndrome (WAS gene mutation) presents with eczema, recurrent infections, and thrombocytopenia (not seen here). 22q11.2 deletion (DiGeorge) would have lymphopenia and hypocalcemia. Adenosine deaminase deficiency (SCID) would have severe lymphopenia and more severe infections. Defective leukocyte adhesion presents with delayed umbilical cord separation and poor wound healing, not this pattern. The best fit is defective tyrosine kinase (Bruton agammaglobulinemia), as the child has recurrent bacterial infections, eczema, and normal lymphocyte count (early in disease, before maternal IgG wanes).
Answer: D  
Confidence: 85%</t>
  </si>
  <si>
    <t xml:space="preserve">Average Accuracy </t>
  </si>
  <si>
    <t>Human Evaluation</t>
  </si>
  <si>
    <t>Model Self-Score</t>
  </si>
  <si>
    <t xml:space="preserve">Zero-shot 
</t>
  </si>
  <si>
    <t xml:space="preserve">Few-shot 
</t>
  </si>
  <si>
    <r>
      <rPr>
        <rFont val="Arial"/>
        <color theme="1"/>
      </rPr>
      <t xml:space="preserve">Chain-of-Thought </t>
    </r>
    <r>
      <rPr>
        <rFont val="Arial"/>
        <color theme="1"/>
      </rPr>
      <t xml:space="preserve">
</t>
    </r>
  </si>
  <si>
    <t>Claude Opus</t>
  </si>
  <si>
    <t>A 9-year-old girl is brought to the pediatrician for a wellness checkup. The girl's past medical history is non-contributory, and she has met all her developmental milestones. Her parents were recently called into the office as the girl was found touching the genitals of one of her classmates. She was trying to insert a toy into her classmate's genitals. The girl is asked what has happened and what she thinks is going on but she is too shy to reply to the physician. The girl and her mother recently moved in with a family member. They live in low-income housing subsidized by the government and are currently on food stamps. The mother states that her daughter has been particularly argumentative lately and that they have gotten into arguments in which her daughter screamed at her and locked herself in the bathroom. Which of the following is the most likely diagnosis?</t>
  </si>
  <si>
    <t>Answer: E
 Reasoning: The child's sexualized behavior (touching classmate's genitals, attempting penetration with a toy) is age-inappropriate and highly concerning for sexual abuse. This is particularly significant given the recent move to live with a family member, creating a new exposure risk. While increased conflict with parents can occur normally, the combination of inappropriate sexual knowledge/behavior in a 9-year-old is a red flag requiring immediate investigation for abuse.
 Confidence: 95%</t>
  </si>
  <si>
    <t>Left ventricular free wall rupture</t>
  </si>
  <si>
    <t>An obese 50-year-old woman presents to the emergency department of a rural hospital due to chest pain for the last 12 hours. The pain is substernal, crushing in nature, radiating into her neck, and accompanied by profuse sweating. Her history is significant for hypertension, and she admits poor compliance with her medications. An ECG done at the clinic confirmed the presence of STEMI, and the patient was given aspirin. The ambulance was in an accident on the way to the hospital and by the time the patient reached the angiography suite, the cardiologist decided intervention should be delayed due to the late presentation. Also, the patient’s pain has improved. The patient is admitted and is stable for 3 nights with no dyspnea or edema. Her blood pressure is kept under control while in the hospital. On the fourth night, the patient becomes quite agitated and soon thereafter she is unresponsive. Her pulse cannot be palpated. She has an elevated JVP and upon auscultation, heart sounds are distant. What is the most likely diagnosis for this patient?</t>
  </si>
  <si>
    <t>Answer: C
 Reasoning: The patient presents with a late complication of STEMI (day 4 post-infarction). The sudden deterioration with elevated JVP, distant heart sounds, and pulselessness suggests cardiac tamponade from left ventricular free wall rupture. This typically occurs 3-5 days post-MI when the necrotic myocardium is weakest, leading to hemopericardium and obstructive shock.
 Confidence: 95%</t>
  </si>
  <si>
    <t>Prenatal alcohol exposure</t>
  </si>
  <si>
    <t>A 6-year-old boy is brought to the physician because of inability to concentrate and difficulties completing assignments at school. His mother says that he frequently interrupts others during conversations at home and that his teachers often reprimand him for talking excessively in school. He refuses to play with the other children and often has physical altercations with his classmates. He can jump up and down but he cannot hop on one foot. He eats without assistance but has difficulty using silverware. He cannot follow three-step directions. There is no family history of serious illness. Examination shows a small head, wide-spaced eyes, and short palpebral fissures. His upper lip is thin and flat. He has a sunken nasal bridge and a small jaw. There is a 3/6 pansystolic murmur heard along the left lower sternal border. Which of the following is the most likely cause of these findings?</t>
  </si>
  <si>
    <t>Answer: C
 Reasoning: The clinical presentation includes characteristic facial features (thin upper lip, smooth philtrum, short palpebral fissures, small jaw, sunken nasal bridge), microcephaly, cardiac defect (VSD suggested by pansystolic murmur), developmental delays, behavioral problems, and fine motor difficulties. This constellation is classic for fetal alcohol syndrome (FAS), caused by prenatal alcohol exposure.
 Confidence: 95%</t>
  </si>
  <si>
    <t>Acute mesenteric ischemia</t>
  </si>
  <si>
    <t>A 57-year-old man presents with 2 days of severe, generalized, abdominal pain that is worse after meals. He is also nauseated and reports occasional diarrhea mixed with blood. Apart from essential hypertension, his medical history is unremarkable. His vital signs include a temperature of 36.9°C (98.4°F), blood pressure of 145/92 mm Hg, and an irregularly irregular pulse of 105/min. Physical examination is only notable for mild periumbilical tenderness. Which of the following is the most likely diagnosis?</t>
  </si>
  <si>
    <t>Answer: C
 Reasoning: The key features are an irregularly irregular pulse (atrial fibrillation), severe abdominal pain out of proportion to physical exam findings (mild periumbilical tenderness), and bloody diarrhea in an older patient. This classic triad strongly suggests acute mesenteric ischemia, likely from an embolic event secondary to atrial fibrillation.
 Confidence: 95%</t>
  </si>
  <si>
    <t>Cyclic vomiting syndrome</t>
  </si>
  <si>
    <t>A 5-year-old male is brought to the pediatrician by his mother, who relates a primary complaint of a recent history of five independent episodes of vomiting over the last 10 months, most recently 3 weeks ago. Each time, he has awoken early in the morning appearing pale, feverish, lethargic, and complaining of severe nausea. This is followed by 8-12 episodes of non-bilious vomiting over the next 24 hours. Between these episodes he returns to normal activity. He has no significant past medical history and takes no other medications. Review of systems is negative for changes in vision, gait disturbance, or blood in his stool. His family history is significant only for migraine headaches. Vital signs and physical examination are within normal limits. Initial complete blood count, comprehensive metabolic panel, and abdominal radiograph were unremarkable. What is the most likely diagnosis?</t>
  </si>
  <si>
    <t>Answer: C
 Reasoning: This child presents with stereotypical recurrent episodes of severe vomiting separated by symptom-free intervals, occurring early morning with associated symptoms (pallor, lethargy, nausea), lasting ~24 hours, with complete return to baseline between episodes. The family history of migraines and negative workup strongly support cyclic vomiting syndrome, which is associated with migraine disorders.
 Confidence: 95%</t>
  </si>
  <si>
    <t>Acute gout</t>
  </si>
  <si>
    <t>A 45-year-old man comes to the emergency department with the complaint of pain and swelling of the proximal joint in the third finger of his right hand. The pain is so severe that it woke him up from sleep this morning. He has never had an episode like this before. The patient has smoked a pack of cigarettes daily for the last 25 years and drinks alcohol heavily each weekend. His friend threw a party last night where he drank 3–4 beers and was unable to drive back home. He has no past medical illness. His mother died of pancreatic cancer at age 55, and his father died of a stroke 2 years ago. His temperature is 37.7°C (100°F), blood pressure is 130/70 mm Hg, pulse is 104/min, respiratory rate is 20/min, and BMI is 25 kg/m2. The patient is in moderate distress due to the pain. On examination, the proximal interphalangeal joint of the third finger of his right hand is very tender to touch, swollen, warm, and slightly red in color. Range of motion cannot be assessed due to extreme tenderness. The patient’s right hand is shown in the image.
 Laboratory investigation
 Complete blood count:
 Hemoglobin 14.5 g/dL
 Leukocytes 16,000/mm3
 Platelets 150,000/mm3
 ESR 55mm/hr
 Synovial fluid is aspirated from the joint. The findings are:
 Appearance Cloudy, dense yellow
 WBC 30,000 cells/µL
 Culture Negative
 Negatively birefringent needle-shaped crystals are seen. Which of the following is the most likely diagnosis?</t>
  </si>
  <si>
    <t>Answer: D
 Reasoning: The patient presents with acute monoarticular arthritis of a PIP joint with synovial fluid showing negatively birefringent needle-shaped crystals, which are pathognomonic for monosodium urate crystals in gout. The acute onset, severe pain waking him from sleep, and recent alcohol consumption (a known trigger) are classic for an acute gout attack. While the PIP joint is less commonly affected than the first MTP joint, it can still be involved in acute gout.
 Confidence: 95%</t>
  </si>
  <si>
    <t>Crohn disease</t>
  </si>
  <si>
    <t>A 61-year-old man comes to the physician because of fatigue, diarrhea, and crampy abdominal pain for 3 weeks. The abdominal pain is worse after eating. During the past week, he has had up to 4 watery stools daily. He has also had pain in his mouth and gums for 6 days. He has not had nausea, vomiting, or fever. Four months ago, he went on a 1-week trip to the Dominican Republic. He has atrial fibrillation, hypertension, and hypothyroidism. Current medications include levothyroxine, metoprolol, and warfarin. He has smoked one pack of cigarettes daily for 40 years. His temperature is 37.9°C (100.2°F), pulse is 81/min, and blood pressure is 120/75 mm Hg. Examination shows two 1-cm, tender ulcerative lesions in the mouth. Abdominal examination shows mild tenderness to palpation in the right lower quadrant without guarding or rebound. Bowel sounds are normal. His hemoglobin concentration is 11.5 g/dL, mean corpuscular volume is 77 fL, leukocyte count is 11,800 mm3, and platelet count is 360,000 mm3. Colonoscopy with biopsy of the colonic mucosa is performed. Analysis of the specimen shows non-caseating granulomas and neutrophilic inflammation of the crypts. Which of the following is the most likely diagnosis?</t>
  </si>
  <si>
    <t>Answer: C
 Reasoning: The patient presents with chronic diarrhea, abdominal pain, oral ulcers, and colonoscopy findings of non-caseating granulomas and crypt abscesses (neutrophilic inflammation of crypts). These findings are pathognomonic for Crohn disease. The microcytic anemia (MCV 77 fL) suggests chronic blood loss or malabsorption. While the travel history might suggest an infectious cause, the chronic course and histopathologic findings are classic for Crohn disease.
 Confidence: 95%</t>
  </si>
  <si>
    <t>Damage to the right superior gluteal nerve</t>
  </si>
  <si>
    <t>A 6-year-old boy is brought to the physician because he has a limp for 3 weeks. He was born at term and has been healthy since. His immunization are up-to-date; he received his 5th DTaP vaccine one month ago. He is at 50th percentile for height and weight. His temperature is 37°C (98.6°F), pulse is 80/min and respirations are 28/min. When asked to stand only on his right leg, the left pelvis sags. The remainder of the examination shows no abnormalities. Which of the following is the most likely cause of these findings?</t>
  </si>
  <si>
    <t>Answer: E
 Reasoning: The positive Trendelenburg sign (left pelvis sags when standing on right leg) indicates weakness of the right hip abductors (gluteus medius and minimus), which are innervated by the superior gluteal nerve. The nerve supplying the stance leg is affected—when standing on the right leg, the right hip abductors cannot stabilize the pelvis, causing the contralateral (left) side to drop.
 Confidence: 95%</t>
  </si>
  <si>
    <t>Parvovirus infection</t>
  </si>
  <si>
    <t>A 3-year-old boy presents with fever, generalized fatigue, nausea, and progressive anemia. The patient’s mother says his condition was normal until one week ago when he started having flu-like symptoms such as fever, general fatigue, and abdominal discomfort. Past medical experience is significant for sickle cell disease, diagnosed 2 years ago. His vital signs include: blood pressure 98/50 mm Hg, pulse 120/min, temperature 39.0℃ (102.0℉). On physical examination, the patient is crying excessively and his skin and the conjunctivae look pale. Splenomegaly is noted. There is no skin rash nor lymphadenopathy. Laboratory findings are significant for the following:
 Total WBC count 22,000/mm3
 Neutrophils 35%
 Lymphocytes 44%
 Atypical lymphocytes 9%
 Monocytes 12%
 RBC 1. 6 million/mm3
 Hb 5.4 g/dL
 Hct 14.4%
 MCV 86 fL
 MCHC 37.5%
 Reticulocytes 0.1%
 A peripheral blood smear shows sickle cells. A direct and indirect Coombs test is negative. Which of the following is the most likely cause of this patient’s most recent symptoms?</t>
  </si>
  <si>
    <t>Answer: A
 Reasoning: This sickle cell patient presents with severe anemia (Hb 5.4 g/dL), markedly low reticulocytes (0.1%), and flu-like prodrome. The combination of sudden worsening anemia with reticulocytopenia in a sickle cell patient is classic for aplastic crisis caused by parvovirus B19 infection, which temporarily halts red cell production. The negative Coombs test excludes hemolytic anemia (option B).
 Confidence: 98%</t>
  </si>
  <si>
    <t>Eosinophilic granulomatosis with polyangiitis
 "</t>
  </si>
  <si>
    <t>A 40-year-old woman comes to the emergency department because of difficulty walking for the past 4 hours. She first noticed her symptoms after getting up this morning and her foot dragging while walking. She feels tired. She has a history of chronic sinusitis. Six months ago, she was diagnosed with asthma. Current medications include an albuterol inhaler and inhaled corticosteroids. Her temperature is 38.9°C (102°F), pulse is 80/min, and her blood pressure is 140/90 mm Hg. Auscultation of her lungs shows diffuse wheezing over bilateral lung fields. Physical examination shows tender subcutaneous nodules on the extensor surfaces of the elbows. There are palpable, non-blanching erythematous lesions on both shins. Dorsiflexion of the right foot is impaired. Sensation to pinprick, light touch, and vibration is decreased over the ulnar aspect of the left forearm. Laboratory studies show:
 Hemoglobin 11.3 g/dL
 Leukocyte count 24,500
 Segmented neutrophils 48%
 Eosinophils 29%
 Lymphocytes 19%
 Monocytes 4%
 Platelet count 290,000/mm3
 Serum
 Urea nitrogen 32 mg/dL
 Creatinine 1.85 mg/dL
 Urine
 Blood 2+
 Protein 3+
 Which of the following is the most likely diagnosis in this patient?"</t>
  </si>
  <si>
    <t>Answer: E
 Reasoning: This patient presents with asthma, chronic sinusitis, eosinophilia (29%), mononeuritis multiplex (foot drop and ulnar nerve involvement), palpable purpura, subcutaneous nodules, and renal involvement (elevated creatinine, hematuria, proteinuria). This constellation of findings is classic for eosinophilic granulomatosis with polyangiitis (Churg-Strauss syndrome), which characteristically affects patients with asthma and presents with peripheral eosinophilia and vasculitic manifestations.
 Confidence: 95%</t>
  </si>
  <si>
    <t>Open-angle glaucoma</t>
  </si>
  <si>
    <t>A 64-year-old woman comes to the physician for a follow-up examination. She has had difficulty reading for the past 6 months. She tried using multiple over-the-counter glasses with different strengths, but they have not helped. She has hypertension and type 2 diabetes mellitus. Current medications include insulin and enalapril. Her temperature is 37.1°C (98.8°F), pulse is 80/min, and blood pressure is 126/84 mm Hg. The pupils are round and react sluggishly to light. Visual acuity in the left eye is 6/60 and in the right eye counting fingers at 6 feet. Fundoscopy shows pallor of the optic disc bilaterally. The cup-to-disk ratio is 0.7 in the left eye and 0.9 in the right eye (N = 0.3). Which of the following is the most likely diagnosis?</t>
  </si>
  <si>
    <t>Answer: D
 Reasoning: The key findings are optic disc pallor with increased cup-to-disc ratios (0.7 and 0.9 vs normal 0.3), sluggish pupillary reactions, and progressive visual loss not corrected by glasses. These findings indicate optic nerve damage with cupping characteristic of glaucoma. The chronic progressive nature and bilateral involvement with increased cup-to-disc ratio point to open-angle glaucoma rather than other options.
 Confidence: 92%</t>
  </si>
  <si>
    <t>Renal cell carcinoma</t>
  </si>
  <si>
    <t>A 53-year-old male presents to your office for abdominal discomfort. The patient states he first noticed pain on his right flank several months ago, and it has been gradually getting worse. For the past week, he has also noticed blood in his urine. Prior to this episode, he has been healthy and does not take any medications. The patient denies fever, chills, and dysuria. He has a 40 pack-year smoking history. Vital signs are T 37 C, HR 140/90 mmHg, HR 84/min, RR 14/min, O2 98%. Physical exam is unremarkable. CBC reveals a hemoglobin of 17 and hematocrit of 51%, and urinalysis is positive for red blood cells, negative for leukocytes. Which of the following is the most likely diagnosis?</t>
  </si>
  <si>
    <t>Answer: A
 Reasoning: The patient presents with a classic triad suggestive of renal cell carcinoma: flank pain, hematuria, and a parenchymal renal mass. Additionally, he has polycythemia (elevated hemoglobin/hematocrit), which can occur in RCC due to paraneoplastic erythropoietin production. His significant smoking history is a risk factor. The absence of infection signs rules out pyelonephritis, and the presentation doesn't fit polycystic kidney disease or AAA.
 Confidence: 95%</t>
  </si>
  <si>
    <t>Cellulitis</t>
  </si>
  <si>
    <t>A 74-year-old woman presents to the clinic for evaluation of an erythematous and edematous skin rash on her right leg that has progressively worsened over the last 2 weeks. The medical history is significant for hypertension and diabetes mellitus type 2. She takes prescribed lisinopril and metformin. The vital signs include: blood pressure 152/92 mm Hg, heart rate 76/min, respiratory rate 12/min, and temperature 37.8°C (100.1°F). On physical exam, the patient appears alert and oriented. Observation of the lesion reveals a poorly demarcated region of erythema and edema along the anterior aspect of the right tibia. Within the region of erythema is a 2–3 millimeter linear break in the skin that does not reveal any serous or purulent discharge. Tenderness to palpation and warmth is associated with the lesion. There are no vesicles, pustules, papules, or nodules present. Ultrasound of the lower extremity is negative for deep vein thrombosis or skin abscess. The blood cultures are pending. Which of the following is the most likely diagnosis based on history and physical examination?</t>
  </si>
  <si>
    <t>Answer: B
 Reasoning: The patient presents with poorly demarcated erythema, edema, warmth, and tenderness on the right leg with a skin break, consistent with cellulitis. Erysipelas typically has well-demarcated, raised borders and involves more superficial layers. The absence of vesicles, pustules, or gas formation rules out folliculitis and gas gangrene. Contact dermatitis would be pruritic rather than tender and lacks the infectious features.
 Confidence: 95%</t>
  </si>
  <si>
    <t>Anterior horn cell degeneration</t>
  </si>
  <si>
    <t>A 6-month-old boy presents to his pediatrician for a wellness examination. The mother reports that her child has difficulty rolling from his back to his front and sitting unsupported. The patient is able to smile and furrow his brow normally, but she has noticed that he has a weak cry and suck. He was born at 38 weeks gestation via a spontaneous vaginal delivery without any complications. The mother said that the patient appeared "normal" until the past few weeks. On physical exam, his extraocular muscle movements are intact, and a symmetric smile is seen. He has symmetric flaccid weakness of both his upper and lower extremities. He also has a bell-shaped chest. Deep tendon reflexes are diminished. Which of the following is the most likely cause of this patient's symptoms?</t>
  </si>
  <si>
    <t>Answer: A
 Reasoning: This 6-month-old presents with symmetric flaccid weakness, diminished deep tendon reflexes, weak cry/suck, bell-shaped chest, and normal facial/extraocular movements, with onset after appearing initially normal. This classic presentation suggests spinal muscular atrophy (SMA) Type I (Werdnig-Hoffmann disease), caused by degeneration of anterior horn cells in the spinal cord due to SMN1 gene mutations.
 Confidence: 95%</t>
  </si>
  <si>
    <t>Major blood group incompatibility</t>
  </si>
  <si>
    <t>A 23-year-old man is brought to the emergency department by ambulance. The patient was found unconscious in his bedroom after a suicide attempt. The patient had cut his wrists using a kitchen knife. The patient is unresponsive and pale. His temperature is 96°F (35.6°C), blood pressure is 70/35 mmHg, pulse is 190/min, respirations are 19/min, and oxygen saturation is 92% on room air. Pressure is applied to his bilateral wrist lacerations. His Glasgow Coma Scale (GCS) is 7. A full trauma assessment is performed and reveals no other injuries. IV fluids are started as well as a rapid transfusion sequence. Norepinephrine is administered. Repeat vitals demonstrate that his blood pressure is 100/65 mmHg and pulse is 100/min. The patient is responsive and seems mildly confused. Resuscitation is continued and the patient's GCS improves to 15. Thirty minutes later, the patient's GCS is 11. His temperature is 103°F (39.4°C), blood pressure is 90/60 mmHg, pulse is 122/min, respirations are 22/min, and oxygen saturation is 99% on room air. The patient complains of flank pain. Laboratory values are ordered and demonstrate the following:
 Hemoglobin: 9 g/dL
 Hematocrit: 27%
 Leukocyte count: 10,500 cells/mm^3 with normal differential
 Haptoglobin: 11 mg/dL
 Platelet count: 198,000/mm^3
 Serum:
 Na+: 139 mEq/L
 Cl-: 101 mEq/L
 K+: 4.4 mEq/L
 HCO3-: 23 mEq/L
 BUN: 27 mg/dL
 Glucose: 99 mg/dL
 Creatinine: 1.5 mg/dL
 Ca2+: 10.0 mg/dL
 Bilirubin: 3.2 mg/dL
 AST: 22 U/L
 ALT: 15 U/L
 Which of the following describes the most likely diagnosis?</t>
  </si>
  <si>
    <t>Answer: C
 Reasoning: The patient developed fever (103°F), hypotension, flank pain, and laboratory evidence of hemolysis (low haptoglobin, elevated bilirubin, decreased hemoglobin) approximately 30 minutes after massive transfusion. This acute hemolytic transfusion reaction with hemoglobinuria (flank pain suggests renal involvement) is most consistent with ABO (major blood group) incompatibility, which occurs immediately during or shortly after transfusion.
 Confidence: 95%</t>
  </si>
  <si>
    <t>Primary dysmenorrhea</t>
  </si>
  <si>
    <t>A 24-year-old woman presents to the emergency department with severe abdominal and lower back pain. She describes it as intense cramping and states that she experienced severe pain roughly 1 month ago that was similar. The patient's past medical history is non-contributory, and she states that her menses cause her to soak through 1 pad in a day. She is currently sexually active and does not use any contraception. Her vitals are within normal limits. The patient's abdominal exam is non-focal, and her pelvic exam reveals no adnexal masses or tenderness and no cervical motion tenderness. Which of the following is the most likely diagnosis?</t>
  </si>
  <si>
    <t>Answer: E
 Reasoning: The patient is a young woman with recurrent severe cramping pain, normal vital signs, unremarkable physical exam findings (no adnexal masses, tenderness, or cervical motion tenderness), and relatively normal menstrual flow (1 pad per day). The cyclic nature of pain and lack of pathological findings on examination are most consistent with primary dysmenorrhea, which is common in young women and presents with cramping pain without underlying pelvic pathology.
 Confidence: 85%</t>
  </si>
  <si>
    <t>Choledocholithiasis</t>
  </si>
  <si>
    <t>A 38-year-old woman is brought to the emergency department because of three 1-hour episodes of severe, sharp, penetrating abdominal pain in the right upper quadrant. During these episodes, she has had nausea and vomiting. She has no diarrhea, dysuria, or hematuria and is asymptomatic between episodes. She has hypertension and hyperlipidemia. Seven years ago, she underwent resection of the terminal ileum because of severe Crohn's disease. She is 155 cm (5 ft 2 in) tall and weighs 79 kg (175 lb); BMI is 32 kg/m2. Her temperature is 36.9°C (98.5°F), pulse is 80/min, and blood pressure is 130/95 mm Hg. There is mild scleral icterus. Cardiopulmonary examination shows no abnormalities. The abdomen is soft, and there is tenderness to palpation of the right upper quadrant without guarding or rebound. Bowel sounds are normal. The stool is brown, and test for occult blood is negative. Laboratory studies show:
 Hemoglobin 12.5 g/dL
 Leukocyte count 9,500 mm3
 Platelet count 170,000 mm3
 Serum
 Total bilirubin 4.1 mg/dL
 Alkaline phosphatase 348 U/L
 AST 187 U/L
 ALT 260 U/L
 Abdominal ultrasonography shows a normal liver, a common bile duct caliber of 10 mm (normal &lt; 6 mm) and a gallbladder with multiple gallstones and no wall thickening or pericholecystic fluid. Which of the following is the most likely cause of these findings?"</t>
  </si>
  <si>
    <t>Answer: B
 Reasoning: The patient presents with episodic right upper quadrant pain, elevated bilirubin (4.1 mg/dL) with scleral icterus, elevated alkaline phosphatase (348 U/L), transaminitis, and dilated common bile duct (10 mm) on ultrasound. These findings are classic for choledocholithiasis (common bile duct stones). Her history of terminal ileum resection increases gallstone risk due to impaired bile salt reabsorption. The absence of gallbladder wall thickening or pericholecystic fluid argues against cholecystitis.
 Confidence: 95%</t>
  </si>
  <si>
    <t>Congenital CMV infection</t>
  </si>
  <si>
    <t>A 1710-g (3.77-lb) male newborn is delivered to a 27-year-old woman at 33 weeks' gestation. Pregnancy was uncomplicated, but the mother had a cold and sore throat 2 months before delivery that resolved spontaneously. The newborn appears lethargic. He is at the 15th percentile for height and weight and at the 1st percentile for head circumference. Vital signs are within normal limits. There is jaundice of the skin and conjunctivae. Abdominal examination shows hepatosplenomegaly. A cranial ultrasound of the newborn shows periventricular calcifications. Which of the following is the most likely diagnosis?</t>
  </si>
  <si>
    <t>Answer: E
 Reasoning: The newborn presents with classic findings of congenital CMV infection: intrauterine growth restriction (IUGR), microcephaly (1st percentile head circumference), jaundice, hepatosplenomegaly, and periventricular calcifications on imaging. The mother's "cold and sore throat" 2 months before delivery likely represents primary CMV infection. Periventricular calcifications specifically point to CMV rather than toxoplasmosis (which causes diffuse intracranial calcifications).
 Confidence: 95%</t>
  </si>
  <si>
    <t>Hordeolum</t>
  </si>
  <si>
    <t>A 7-year-old girl comes in to the emergency department with her mother for swelling of her left periorbital region. Yesterday morning she woke up with a painful, warm, soft lump on her left eyelid. Eye movement does not worsen the pain. Physical examination shows redness and swelling of the upper left eyelid, involving the hair follicles. Upon palpation, the swelling drains purulent fluid. Which of the following is the most likely diagnosis?</t>
  </si>
  <si>
    <t>Answer: A
 Reasoning: The presentation of a painful, warm, soft lump on the eyelid with purulent drainage upon palpation involving hair follicles is classic for a hordeolum (stye), which is an acute bacterial infection of the eyelid glands. A chalazion is typically painless and doesn't drain purulent fluid. Dacryocystitis involves the lacrimal sac, and blepharitis is chronic eyelid margin inflammation.
 Confidence: 95%</t>
  </si>
  <si>
    <t>Lymphoma</t>
  </si>
  <si>
    <t>A 54-year-old man comes to the emergency department because of abdominal distension for the past 3 weeks. He also complains of generalized abdominal discomfort associated with nausea and decreased appetite. He was discharged from the hospital 3 months ago after an inguinal hernia repair with no reported complications. He has a history of type 2 diabetes mellitus, congestive heart failure, and untreated hepatitis C. His current medications include aspirin, atorvastatin, metoprolol, lisinopril, and metformin. His father has a history of alcoholic liver disease. He has smoked one pack of cigarettes daily for 30 years but quit 5 years ago. He drinks 3–4 beers daily. He appears cachectic. His vital signs are within normal limits. Examination shows a distended abdomen and shifting dullness. There is no abdominal tenderness or palpable masses. There is a well-healed surgical scar in the right lower quadrant. Examination of the heart and lung shows no abnormalities. He has 1+ bilateral lower extremity nonpitting edema. Diagnostic paracentesis is performed. Laboratory studies show:
 Hemoglobin 10 g/dL
 Leukocyte count 14,000/mm3
 Platelet count 152,000/mm3
 Serum
 Total protein 5.8 g/dL
 Albumin 3.5 g/dL
 AST 18 U/L
 ALT 19 U/L
 Total bilirubin 0.8 mg/dL
 HbA1c 8.1%
 Peritoneal fluid analysis
 Color Cloudy
 Cell count 550/mm3 with lymphocytic predominance
 Total protein 3.5 g/dL
 Albumin 2.6 g/dL
 Glucose 60 mg/dL
 Triglycerides 360 mg/dL
 Peritoneal fluid Gram stain is negative. Culture and cytology results are pending. Which of the following is the most likely cause of this patient's symptoms?"</t>
  </si>
  <si>
    <t>Answer: A
 Reasoning: The patient presents with chylous ascites (cloudy fluid with elevated triglycerides &gt;200 mg/dL and lymphocytic predominance) 3 months post-inguinal hernia repair. The high peritoneal protein (3.5 g/dL), low SAAG (&lt;1.1), and negative Gram stain point away from portal hypertension or infection. Recent abdominal/pelvic surgery is a known cause of chylous ascites due to lymphatic disruption.
 Confidence: 85%</t>
  </si>
  <si>
    <t>Congenital toxoplasmosis</t>
  </si>
  <si>
    <t>A 2-day old male newborn delivered vaginally at 36 weeks to a 29-year-old woman, gravida 3, para 2, has generalized convulsions lasting 2 minutes. Previous to the event, he had difficulty feeding and was lethargic. Pregnancy and delivery were uncomplicated. Apgar scores were 7 and 8 at 1 and 5 minutes, respectively. Pregnancy and delivery of the mother's first 2 children were also uncomplicated. Medications of the mother include folic acid and a multivitamin. The mother's immunizations are up-to-date. The infant appears icteric. His vital signs are within normal limits. The infant's weight and length are at the 5th percentile, and his head circumference at the 99th percentile for gestational age. There are several purpura of the skin. Ocular examination shows posterior uveitis. The patient does not pass his auditory screening tests. Cranial ultrasonography shows ventricular dilatation, as well as hyperechoic foci within the cortex, basal ganglia, and periventricular region. Which of the following is the most likely diagnosis?</t>
  </si>
  <si>
    <t>Answer: A
 Reasoning: The classic triad of congenital toxoplasmosis includes chorioretinitis, hydrocephalus, and intracranial calcifications. This newborn presents with posterior uveitis (chorioretinitis), ventricular dilatation (hydrocephalus), hyperechoic foci in the brain (calcifications), along with seizures, jaundice, petechiae/purpura, and hearing loss - all consistent with congenital toxoplasmosis. The intrauterine growth restriction (low weight/length) and macrocephaly further support this diagnosis.
 Confidence: 95%</t>
  </si>
  <si>
    <t>Hemisection injury</t>
  </si>
  <si>
    <t>A 39-year-old woman is brought to the emergency department following a stab wound to the neck. Per the patient, she was walking her dog when she got robbed and was subsequently stabbed with a knife. Vitals are stable. Strength examination reveals 2/5 right-sided elbow flexion and extension, wrist extension, and finger motions. Babinski sign is upward-going on the right. There is decreased sensation to light touch and vibration on the patient's right side up to her shoulder. She also reports decreased sensation to pinprick and temperature on her left side, including her lower extremities, posterior forearm, and middle finger. The patient's right pupil is 2 mm smaller than the left with drooping of the right upper eyelid. Which of the following is the most likely cause of the patient’s presentation?</t>
  </si>
  <si>
    <t>Answer: C
 Reasoning: The patient presents with ipsilateral motor weakness (2/5 strength on right), ipsilateral loss of proprioception/vibration (right side), contralateral loss of pain/temperature sensation (left side), and ipsilateral Horner's syndrome (miosis, ptosis). This classic triad indicates Brown-Séquard syndrome (hemisection injury) from the stab wound, affecting the corticospinal tract, dorsal columns, and sympathetic fibers on one side while the spinothalamic tract decussates and causes contralateral findings.
 Confidence: 95%</t>
  </si>
  <si>
    <t>Bronchiectasis</t>
  </si>
  <si>
    <t>A 65-year-old man is brought to the emergency department after coughing up copious amounts of blood-tinged sputum at his nursing home. He recently had an upper respiratory tract infection that was treated with antibiotics. He has a long-standing history of productive cough that has worsened since he had a stroke 3 years ago. He smoked a pack of cigarettes daily for 40 years until the stroke, after which he quit. The patient appears distressed and short of breath. His temperature is 38°C (100.4°F), pulse is 92/min, and blood pressure is 145/85 mm Hg. Pulse oximetry on room air shows an oxygen saturation of 92%. Physical examination shows digital clubbing and cyanosis of the lips. Coarse crackles are heard in the thorax. An x-ray of the chest shows increased translucency and tram-track opacities in the right lower lung field. Which of the following is the most likely diagnosis?</t>
  </si>
  <si>
    <t>Answer: A
 Reasoning: The patient presents with chronic productive cough, recent hemoptysis, digital clubbing, and characteristic "tram-track" opacities on chest x-ray, which are pathognomonic for bronchiectasis. The history of stroke 3 years ago likely led to recurrent aspiration, predisposing to bronchiectasis development. The tram-track sign represents dilated, thickened bronchial walls.
 Confidence: 95%</t>
  </si>
  <si>
    <t>Ichthyosis vulgaris</t>
  </si>
  <si>
    <t>A 13-year-old female comes to your office complaining of dry, scaling skin (FIgure A). She is particularly concerned about the appearance of her skin around her peers. She indicates that she did not start having problems until she was 5 years of age, after which her skin has progressively become drier and scalier. She has tried all types of over-the-counter moisturizers with no resolution. What is the most likely diagnosis?</t>
  </si>
  <si>
    <t>Answer: A
 Reasoning: The key features are onset at age 5 (not present at birth), progressive dry and scaling skin unresponsive to moisturizers, and the chronic nature. Ichthyosis vulgaris typically presents in early childhood (ages 3-5) with generalized dry, scaly skin that worsens over time. Atopic dermatitis would more likely present with pruritus and eczematous changes, while psoriasis typically shows well-demarcated plaques.
 Confidence: 85%</t>
  </si>
  <si>
    <t>Antibiotic therapy</t>
  </si>
  <si>
    <t>A 29-year-old woman presents to the emergency department with a history of a fever that "won't break." She has taken acetaminophen without relief. Upon obtaining a past medical history you learn that the patient is a prostitute who is homeless with a significant history of intravenous drug use and alcohol abuse. The patient uses barrier protection occasionally when engaging in intercourse. On physical exam you note a murmur heard along the left mid-sternal border. The pulmonary exam reveals minor bibasilar crackles. Examination of the digits is notable for linea melanonychia. The patient's upper limbs demonstrate many bruises and scars in the antecubital fossa. Her temperature is 103.5°F (39.5°C), blood pressure is 100/70 mmHg, pulse is 112/min, respirations are 18/min, and oxygen saturation is 93% on room air.
 The patient's BMI is 16 kg/m^2. The patient is started on vancomycin and gentamicin and sent for echocardiography. Based on the results of echocardiography the patient is scheduled for surgery the next day.
 Vegetations are removed from the tricuspid valve during the surgical procedure and vancomycin and gentamicin are continued over the next 5 days. On post-operative day five, the patient presents with bleeding from her gums, oozing from her surgical sites, and recurrent epitaxis. Lab value are obtained as seen below:
 Serum:
 Na+: 135 mEq/L
 Cl-: 90 mEq/L
 K+: 4.4 mEq/L
 HCO3-: 23 mEq/L
 BUN: 20 mg/dL
 Glucose: 110 mg/dL
 Creatinine: 1.0 mg/dL
 Ca2+: 10.1 mg/dL
 AST: 9 U/L
 ALT: 9 U/L
 Leukocyte count and differential:
 Leukocyte count: 6,000 cells/mm^3
 Lymphocytes: 20%
 Monocytes: 1%
 Neutrophils: 78%
 Eosinophils: 1%
 Basophils: 0%
 PT: 27 seconds
 aPTT: 84 seconds
 D-dimer: &lt; 50 µg/L
 Hemoglobin: 14 g/dL
 Hematocrit: 40%
 Platelet count: 150,000/mm^3
 Mean corpuscular volume: 110 fL
 Mean corpuscular hemoglobin concentration: 34 g/dL
 RDW: 14%
 Which of the following is the most likely cause of this patient's current symptoms?</t>
  </si>
  <si>
    <t>Answer: A
 Reasoning: The patient presents with bleeding manifestations (gum bleeding, surgical site oozing, epistaxis) on post-operative day 5 while on vancomycin and gentamicin. Her labs show prolonged PT (27s) and markedly prolonged aPTT (84s) with normal platelet count. This coagulation profile is consistent with vitamin K deficiency, which can be caused by prolonged antibiotic therapy that disrupts gut flora responsible for vitamin K synthesis. The patient's malnutrition (BMI 16) and antibiotic use make this the most likely diagnosis.
 Confidence: 85%</t>
  </si>
  <si>
    <t>ASCA positivity</t>
  </si>
  <si>
    <t>A 27-year-old man presents to the emergency department with a chief concern of abdominal pain and diarrhea. The patient states that for the past 4 days he has experienced abdominal pain, diarrhea, weakness and a subjective fever. He also endorses a weight loss of 11 pounds during this time. The patient has a past medical history of celiac disease, constipation, and depression. His current medications include fish oil, a multivitamin, sodium docusate, and fluoxetine. His temperature is 98.5°F (36.9°C), blood pressure is 110/75 mmHg, pulse is 90/min, respirations are 13/min, and oxygen saturation is 98% on room air. Physical exam is notable for a young man in mild distress. Cardiac and pulmonary exams are within normal limits. Abdominal exam is notable for generalized tenderness and increased bowel sounds. Oral exam is notable for multiple shallow painful ulcers. Laboratory values are ordered as seen below:
 Hemoglobin: 12 g/dL
 Hematocrit: 36%
 Leukocyte count: 8,000 cells/mm^3 with normal differential
 Platelet count: 227,500/mm^3
 Serum:
 Na+: 141 mEq/L
 Cl-: 101 mEq/L
 K+: 4.5 mEq/L
 HCO3-: 24 mEq/L
 BUN: 17 mg/dL
 Glucose: 82 mg/dL
 Creatinine: 1.0 mg/dL
 Ca2+: 10.1 mg/dL
 AST: 12 U/L
 ALT: 11 U/L
 A stool guaiac test is performed which returns positive. The patient is started on IV fluids and morphine. Which of the following best describes the most likely diagnosis?</t>
  </si>
  <si>
    <t>Answer: B
 Reasoning: This 27-year-old man presents with chronic diarrhea, abdominal pain, weight loss, and oral ulcers (aphthous ulcers), along with guaiac-positive stool suggesting GI bleeding. The combination of oral ulcers, abdominal symptoms, and inflammatory bowel features strongly suggests Crohn's disease, which is associated with ASCA (anti-Saccharomyces cerevisiae antibodies) positivity. ANCA positivity is more associated with ulcerative colitis.
 Confidence: 85%</t>
  </si>
  <si>
    <t>Major depressive disorder</t>
  </si>
  <si>
    <t>A 25-year-old woman comes to the physician because of sadness that started 6 weeks after her 9-month-old daughter was born. Since then, she has not returned to work. Her daughter usually sleeps through the night, but the patient still has difficulty staying asleep. She is easily distracted from normal daily tasks. She used to enjoy cooking, but only orders delivery or take-out now. She says that she always feels too exhausted to do so and does not feel hungry much anyway. The pregnancy of the patient's child was complicated by gestational diabetes. The child was born at 36-weeks' gestation and has had no medical issues. The patient has no contact with the child's father. She is not sexually active. She does not smoke, drink alcohol, or use illicit drugs. She is 157 cm (5 ft 1 in) tall and weighs 47 kg (105 lb); BMI is 20 kg/m2. Vital signs are within normal limits. She is alert and cooperative but makes little eye contact. Physical examination shows no abnormalities. Which of the following is the most likely diagnosis?</t>
  </si>
  <si>
    <t>Answer: C
 Reasoning: This patient presents with depressive symptoms (sadness, anhedonia, sleep disturbance, poor concentration, decreased appetite, fatigue) beginning 6 weeks postpartum, persisting beyond the typical "baby blues" period (which resolves within 2 weeks). The onset within 4 weeks to several months postpartum and meeting criteria for major depression qualifies this as major depressive disorder with peripartum onset (previously called postpartum depression).
 Confidence: 95%</t>
  </si>
  <si>
    <t>Psoriatic arthritis</t>
  </si>
  <si>
    <t>A 67-year-old man who was diagnosed with arthritis 16 years ago presents with right knee swelling and pain. His left knee was swollen a few weeks ago, but now with both joints affected, he has difficulty walking and feels frustrated. He also has back pain which makes it extremely difficult to move around and be active during the day. He says his pain significantly improves with rest. He also suffers from dandruff for which he uses special shampoos. Physical examination is notable for pitting of his nails. Which of the following is the most likely diagnosis?</t>
  </si>
  <si>
    <t>Answer: A
 Reasoning: The patient presents with asymmetric oligoarthritis (affecting different joints at different times), back pain that improves with rest (suggesting axial involvement), nail pitting, and dandruff (likely psoriasis of the scalp). These features are classic for psoriatic arthritis, which is a seronegative spondyloarthropathy associated with psoriasis and characteristic nail changes.
 Confidence: 95%</t>
  </si>
  <si>
    <t>Right anterior cerebral artery occlusion</t>
  </si>
  <si>
    <t>A 66-year-old man is brought to the emergency department because of weakness of his left leg for the past hour. He was unable to get out of bed that morning. His pants are soaked with urine. He has hypertension and coronary artery disease. Current medications include enalapril, carvedilol, aspirin, and simvastatin. His temperature is 37°C (98.6F), pulse is 98/min, and blood pressure is 160/90 mm Hg. Examination shows equal pupils that are reactive to light. Muscle strength is 2/5 in the left lower extremity. Plantar reflex shows an extensor response on the left. Sensation is decreased in the left lower extremity. On mental status examination, he is oriented to time, place, and person and has a flat affect. When asked to count backwards from 20, he stops after counting to 17. When asked to name 10 words beginning with the letter “d,” he stops after naming two words. Fundoscopy shows no abnormalities. Which of the following is the most likely cause of this patient's symptoms?</t>
  </si>
  <si>
    <t>Answer: B
 Reasoning: The patient presents with left lower extremity weakness, urinary incontinence, and executive dysfunction (difficulty with sequential tasks and word generation), suggesting frontal lobe involvement. The anterior cerebral artery (ACA) supplies the medial frontal lobe and medial motor/sensory cortex controlling the lower extremity. Since symptoms are on the left side, the lesion must be in the right hemisphere (contralateral control). This constellation of findings is consistent with right ACA occlusion.
 Confidence: 92%</t>
  </si>
  <si>
    <t>Obsessive-compulsive personality disorder</t>
  </si>
  <si>
    <t>A previously healthy 30-year-old woman comes to the physician because of nervousness and difficulty sleeping over the past 4 weeks. She has difficulty falling asleep at night because she cannot stop worrying about her relationship and her future. Three months ago, her new boyfriend moved in with her. Before this relationship, she had been single for 13 years. She reports that her boyfriend does not keep things in order in the way she was used to. Sometimes, he puts his dirty dishes in the kitchen sink instead of putting them in the dishwasher directly. He refuses to add any groceries to the shopping list when they are used up. He has also suggested several times that they have dinner at a restaurant instead of eating at home, which enrages her because she likes to plan each dinner of the week and buy the required groceries beforehand. The patient says that she really loves her boyfriend but that she will never be able to tolerate his “flaws.” Vital signs are within normal limits. Physical examination shows no abnormalities. On mental status examination, she is cooperative but appears distressed. Her affect has little intensity or range. Which of the following is the most likely diagnosis?</t>
  </si>
  <si>
    <t>Answer: D
 Reasoning: The patient exhibits a pervasive pattern of preoccupation with orderliness, perfectionism, and control (rigid routines for meals, specific ways dishes must be handled, shopping list requirements) that interferes with her relationship and causes distress. Her inability to tolerate her boyfriend's minor deviations from her standards, combined with restricted emotional range (affect with little intensity), are characteristic of obsessive-compulsive personality disorder (OCPD), not OCD which involves true obsessions and compulsions.
 Confidence: 95%</t>
  </si>
  <si>
    <t>Staphylococcus aureus</t>
  </si>
  <si>
    <t>A 30-year-old male presents to the emergency department with a complaint of abdominal pain. The patient states he was at a barbecue around noon. Lunch was arranged as a buffet without refrigeration. Within 2 to 3 hours, he had abdominal pain with 3 episodes of watery diarrhea. On exam, vital signs are T 99.1, HR 103, BP 110/55, RR 14. Abdominal exam is significant for pain to deep palpation without any rebounding or guarding. There is no blood on fecal occult testing (FOBT). What is the most likely cause of this patient's presentation?</t>
  </si>
  <si>
    <t>Answer: C
 Reasoning: The key features are the rapid onset (2-3 hours) after eating food left unrefrigerated at a buffet, watery diarrhea, and absence of fever or blood in stool. This presentation is classic for preformed toxin-mediated food poisoning. Staphylococcus aureus produces an enterotoxin that causes symptoms within 1-6 hours of ingestion, matching this timeline perfectly. Other organisms listed require longer incubation periods (Salmonella 6-72 hours, Campylobacter 2-5 days).
 Confidence: 95%</t>
  </si>
  <si>
    <t>Pes anserine bursitis</t>
  </si>
  <si>
    <t>An obese 42-year-old female presents to her primary care physician with a complaint of left knee pain for the past 3 months. She describes the pain as affecting the inside part of the knee as well as the front of her knee, below the kneecap. She denies any inciting injury or trauma to the knee but reports that the pain is worse when she is climbing up stairs or rising from a chair. Physical examination is significant for localized tenderness to palpation over the left anteromedial proximal tibia, 6 cm inferior to the joint line. There is no joint effusion noted. Valgus stress testing is negative for any pain or instability of the knee joint. Radiographs of the left knee are obtained and reveal only mild arthritis, without evidence of any fractures or bony lesions. Which of the following is the most likely diagnosis in this patient?</t>
  </si>
  <si>
    <t>Answer: D
 Reasoning: The key findings are anteromedial proximal tibial tenderness 6 cm below the joint line (classic location for pes anserine bursa), pain with stairs/rising from chair, obesity as a risk factor, and negative valgus stress test ruling out MCL injury. The location is too distal for meniscal pathology and radiographs show no fracture. Patellar tendonitis would present at the patellar tendon insertion, not the anteromedial tibia.
 Confidence: 95%</t>
  </si>
  <si>
    <t>Pelvic inflammatory disease</t>
  </si>
  <si>
    <t>A 21-year-old woman presents to the women’s clinic with chronic pelvic pain, especially during sexual intercourse. She also reports new onset yellowish vaginal discharge. She has no significant past medical history. She does not take contraceptive pills as she has had a copper intrauterine device placed. She smokes 2–3 cigarettes every day. She drinks beer on weekends. She admits to being sexually active with over 10 partners since the age of 14. Her blood pressure is 118/66 mm Hg, the heart rate is 68/min, the respiratory rate is 12/min and the temperature is 39.1°C (102.3°F). On physical examination she appears uncomfortable but alert and oriented. Her heart and lung examinations are within normal limits. Bimanual exam reveals a tender adnexa and uterus with cervical motion tenderness. Whiff test is negative and vaginal pH is greater than 4.5. Which of the following is the most likely diagnosis?</t>
  </si>
  <si>
    <t>Answer: E
 Reasoning: The patient presents with classic findings for pelvic inflammatory disease (PID): chronic pelvic pain, dyspareunia, fever (39.1°C), cervical motion tenderness, adnexal tenderness, and purulent vaginal discharge. Her multiple sexual partners and IUD placement are risk factors. The negative whiff test rules out bacterial vaginosis, and elevated pH with purulent discharge suggests ascending infection rather than simple vaginosis or UTI.
 Confidence: 95%</t>
  </si>
  <si>
    <t>Selective IgA deficiency</t>
  </si>
  <si>
    <t>A 10-year-old boy is brought to the pediatric clinic because of persistent sinus infections. For the past 5 years, he has had multiple sinus and upper respiratory infections. He has also had recurrent diarrhea throughout childhood. His temperature is 37.0°C (98.6°F), the heart rate is 90/min, the respirations are 16/min, and the blood pressure is 125/75 mm Hg. Laboratory studies show abnormally low levels of one immunoglobulin isotype but normal levels of others. Which of the following is the most likely diagnosis?</t>
  </si>
  <si>
    <t>Answer: D
 Reasoning: A 10-year-old with recurrent sinopulmonary infections and chronic diarrhea, showing selectively low levels of one immunoglobulin isotype while others remain normal, is classic for selective IgA deficiency. This is the most common primary immunodeficiency, presenting with mucosal infections (sinuses, respiratory tract, GI tract). Common variable immunodeficiency typically shows low levels of multiple immunoglobulin isotypes, and transient hypogammaglobulinemia resolves by age 2-5 years.
 Confidence: 95%</t>
  </si>
  <si>
    <t>Tearing of the posterior urethra</t>
  </si>
  <si>
    <t>A 40-year-old sailor is brought to a military treatment facility 20 minutes after being involved in a navy ship collision. He appears ill. He reports a sensation that he needs to urinate but is unable to void. His pulse is 140/min, respirations are 28/min, and blood pressure is 104/70 mm Hg. Pelvic examination shows ecchymoses over the scrotum and perineum. There is tenderness over the suprapubic region and blood at the urethral meatus. Digital rectal examination shows a high-riding prostate. Abdominal ultrasound shows a moderately distended bladder. X-rays of the pelvis show fractures of all four pubic rami. Which of the following is the most likely cause of this patient's symptoms?</t>
  </si>
  <si>
    <t>Answer: D
 Reasoning: The patient presents with a pelvic fracture (all four pubic rami), blood at the urethral meatus, inability to void despite urge, high-riding prostate on DRE, and perineal/scrotal ecchymoses. These classic findings indicate posterior urethral injury, which commonly occurs with pelvic fractures due to shearing forces at the prostatomembranous junction. The high-riding prostate suggests disruption of the urethra with superior displacement of the prostate.
 Confidence: 95%</t>
  </si>
  <si>
    <t>Seborrheic dermatitis</t>
  </si>
  <si>
    <t>A 3-month-old boy is brought to the physician by his parents for the evaluation of a rash on his scalp and forehead. The parents report that the rash has been present for several weeks. They state that the rash is sometimes red and scaly, especially when it is cold. The patient was born at 36 weeks' gestation and has generally been healthy since. His father has psoriasis. The patient appears comfortable. Examination shows several erythematous patches on the scalp, forehead, and along the hairline. Some patches are covered by greasy yellow scales. Which of the following is the most likely diagnosis?</t>
  </si>
  <si>
    <t>Answer: E
 Reasoning: This 3-month-old presents with erythematous patches with greasy yellow scales on the scalp, forehead, and hairline—classic features of infantile seborrheic dermatitis (cradle cap). This condition typically appears in the first few months of life, involves sebum-rich areas, and presents with the characteristic greasy, yellowish scales. The patient appears comfortable, distinguishing it from atopic dermatitis which is typically pruritic.
 Confidence: 95%</t>
  </si>
  <si>
    <t>Exposure to bacteria at school</t>
  </si>
  <si>
    <t>A 4-year-old boy who otherwise has no significant past medical history presents to the pediatric clinic accompanied by his father for a 2-day history of high fever, sore throat, nausea, vomiting, and bloody diarrhea. The patient’s father endorses that these symptoms began approximately 3 weeks after the family got a new dog. His father also states that several other children at the patient’s preschool have been sick with similar symptoms. He denies any other recent changes to his diet or lifestyle. The patient's blood pressure is 123/81 mm Hg, pulse is 91/min, respiratory rate is 15/min, and temperature is 39.2°C (102.5°F). Which of the following is the most likely cause for this patient’s presentation?</t>
  </si>
  <si>
    <t>Answer: D
 Reasoning: The patient presents with fever, sore throat, nausea, vomiting, and bloody diarrhea following exposure to other sick children at preschool with similar symptoms. This constellation of symptoms with a clear epidemiological link to an outbreak at school strongly suggests a bacterial infection (likely Shigella or enterohemorrhagic E. coli) transmitted through the fecal-oral route in a daycare/preschool setting.
 Confidence: 85%</t>
  </si>
  <si>
    <t>Tetralogy of Fallot</t>
  </si>
  <si>
    <t>A 1-day-old infant born at full term by uncomplicated spontaneous vaginal delivery is noted to have cyanosis of the oral mucosa. The baby otherwise appears comfortable. On examination, his respiratory rate is 40/min and pulse oximetry is 80%. His left thumb is displaced and hypoplastic. A right ventricular lift is palpated, S1 is normal, S2 is single, and a harsh 3/6 systolic ejection murmur is heard at the left upper sternal border. Chest X-ray is shown. Which of the following is the most likely diagnosis?</t>
  </si>
  <si>
    <t>Answer: B
 Reasoning: The presentation of central cyanosis with single S2, harsh systolic ejection murmur at left upper sternal border, and right ventricular lift is classic for Tetralogy of Fallot. The hypoplastic/displaced thumb suggests an associated congenital anomaly, which can occur with TOF. The low oxygen saturation (80%) and "boot-shaped" heart on chest X-ray (though not shown) support this diagnosis.
 Confidence: 92%</t>
  </si>
  <si>
    <t>Atrial myxoma</t>
  </si>
  <si>
    <t>A 41-year-old woman presents with shortness of breath that is worse when she lies on her left side. About 10 days ago, she had an episode of unexplained loss of consciousness. Past medical history is negative and family history is irrelevant. Clinical examination shows a diastolic murmur, which is prominent when she lies on her left side. Jugular venous distention is present, and chest examination reveals fine crackles that do not clear with coughing. Chest X-ray shows pulmonary congestion, and 2-dimensional echocardiogram shows a mass in the left atrium attached to the atrial septum. Which of the following is the most likely diagnosis?</t>
  </si>
  <si>
    <t>Answer: E
 Reasoning: The presentation of a mobile left atrial mass attached to the atrial septum causing positional symptoms (worse when lying on left side), syncope, diastolic murmur, and signs of heart failure is pathognomonic for atrial myxoma. The mass obstructs mitral valve flow in certain positions, explaining the positional dyspnea and murmur. This is the classic "tumor plop" presentation.
 Confidence: 98%</t>
  </si>
  <si>
    <t>Increased EPO production</t>
  </si>
  <si>
    <t>A 45-year-old man comes to the physician because of persistent reddening of the face for the past 3 months. During this period he also had difficulty concentrating at work and experienced generalized fatigue. He has fallen asleep multiple times during important meetings. His mother has rheumatoid arthritis. He has hypertension and asthma. He has smoked one pack of cigarettes daily for 28 years and drinks one alcoholic beverage per day. Medications include labetalol and a salbutamol inhaler. He is 170 cm (5 ft 7 in) tall and weighs 88 kg (194 lb); BMI is 30.4 kg/m2. His temperature is 37.1°C (98.8°F), pulse is 88/min, respirations are 14/min, and blood pressure is 145/85 mm Hg. Physical examination shows erythema of the face that is especially pronounced around the cheeks, nose, and ears. His neck appears short and wide. The remainder of the examination shows no abnormalities. Which of the following is the most likely cause of this patient's facial discoloration?</t>
  </si>
  <si>
    <t>Answer: A
 Reasoning: This patient presents with facial erythema (plethora), obesity (BMI 30.4), hypertension, daytime sleepiness, and a short thick neck—classic features of obstructive sleep apnea (OSA). Chronic intermittent hypoxia from OSA stimulates erythropoietin (EPO) production, leading to secondary polycythemia and facial plethora. The constellation of symptoms strongly suggests OSA with resultant increased EPO production causing erythrocytosis.
 Confidence: 92%</t>
  </si>
  <si>
    <t>Nocturnal upper airway obstruction</t>
  </si>
  <si>
    <t>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Which of the following is the most likely cause of this patient's hypertension?</t>
  </si>
  <si>
    <t>Answer: B
 Reasoning: This obese patient (BMI 37.9) presents with morning headaches, daytime concentration difficulties, snoring, and resistant hypertension—classic features of obstructive sleep apnea (OSA). OSA causes nocturnal upper airway obstruction leading to intermittent hypoxemia, sympathetic activation, and secondary hypertension. His obesity is a major risk factor for OSA.
 Confidence: 95%</t>
  </si>
  <si>
    <t>Elevated pulmonary artery pressure</t>
  </si>
  <si>
    <t>A 61-year-old man comes to the physician for shortness of breath and chest discomfort that is becoming progressively worse. He has had increasing problems exerting himself for the past 5 years. He is now unable to walk more than 50 m on level terrain without stopping and mostly rests at home. He has smoked 1–2 packs of cigarettes daily for 40 years. He appears distressed. His pulse is 85/min, blood pressure is 140/80 mm Hg, and respirations are 25/min. Physical examination shows a plethoric face and distended jugular veins. Bilateral wheezing is heard on auscultation of the lungs. There is yellow discoloration of the fingers on the right hand and 2+ lower extremity edema. Which of the following is the most likely cause of this patient's symptoms?</t>
  </si>
  <si>
    <t>Answer: A
 Reasoning: This patient has a 40-pack-year smoking history with progressive dyspnea, bilateral wheezing, plethoric face, distended jugular veins, and lower extremity edema—classic signs of cor pulmonale secondary to chronic obstructive pulmonary disease (COPD). Chronic hypoxemia from COPD causes pulmonary vasoconstriction, leading to elevated pulmonary artery pressure, right ventricular strain, and eventually right heart failure with systemic venous congestion.
 Confidence: 95%</t>
  </si>
  <si>
    <t>Chromosomal abnormalities</t>
  </si>
  <si>
    <t>A 23-year-old G1 at 10 weeks gestation based on her last menstrual period is brought to the emergency department by her husband due to sudden vaginal bleeding. She says that she has mild lower abdominal cramps and is feeling dizzy and weak. Her blood pressure is 100/60 mm Hg, the pulse is 100/min, and the respiration rate is 15/min. She says that she has had light spotting over the last 3 days, but today the bleeding increased markedly and she also noticed the passage of clots. She says that she has changed three pads since the morning. She has also noticed that the nausea she was experiencing over the past few days has subsided. The physician examines her and notes that the cervical os is open and blood is pooling in the vagina. Products of conception can be visualized in the os. The patient is prepared for a suction curettage. Which of the following is the most likely cause for the pregnancy loss?</t>
  </si>
  <si>
    <t>Answer: D
 Reasoning: The patient presents with a spontaneous abortion (miscarriage) at 10 weeks gestation with an open cervical os and products of conception visible. The most common cause of first-trimester pregnancy loss is chromosomal abnormalities, accounting for approximately 50-60% of early miscarriages. There is no history or evidence suggesting STD, Rh immunization (occurs in subsequent pregnancies), antiphospholipid syndrome (typically recurrent losses), or trauma.
 Confidence: 95%</t>
  </si>
  <si>
    <t>Adenovirus infection</t>
  </si>
  <si>
    <t>A 4-year-old boy is brought to the pediatrician with fever, diarrhea and bilateral red eye for 7 days. His parents noted that he has never had an episode of diarrhea this prolonged, but several other children at daycare had been ill. His immunization history is up to date. His vitals are normal except for a temperature of 37.5°C (99°F). A physical exam is significant for mild dehydration, preauricular adenopathy, and bilateral conjunctival injection with watery discharge. What is the most likely diagnosis?</t>
  </si>
  <si>
    <t>Answer: C
 Reasoning: The key features are prolonged fever, diarrhea, and bilateral conjunctivitis with preauricular adenopathy in a child with daycare exposure. This classic triad points to adenovirus infection, which commonly causes pharyngoconjunctival fever with gastrointestinal symptoms. The preauricular adenopathy and watery conjunctival discharge are particularly characteristic of adenoviral conjunctivitis.
 Confidence: 95%</t>
  </si>
  <si>
    <t>De Quervain tenosynovitis</t>
  </si>
  <si>
    <t>A 34-year-old woman comes to the physician because of a 3-month history of pain in her right thumb and wrist that radiates to her elbow. It is worse when she holds her infant son and improves with the use of an ice pack. Six months ago, she slipped on a wet floor and fell on her right outstretched hand. Her mother takes methotrexate for chronic joint pain. The patient takes ibuprofen as needed for her current symptoms. Examination of the right hand shows tenderness over the radial styloid with swelling but no redness. There is no crepitus. Grasping her right thumb and exerting longitudinal traction toward the ulnar side elicits pain. Range of motion of the finger joints is normal. There is no swelling, redness, or tenderness of any other joints. Which of the following is the most likely diagnosis?</t>
  </si>
  <si>
    <t>Answer: A
 Reasoning: The patient presents with pain over the radial styloid that worsens with holding her infant and radiates to the elbow. The positive Finkelstein test (grasping thumb and applying ulnar deviation causing pain) is pathognomonic for De Quervain tenosynovitis, which involves inflammation of the abductor pollicis longus and extensor pollicis brevis tendons. This condition commonly occurs in new mothers due to repetitive lifting motions.
 Confidence: 95%</t>
  </si>
  <si>
    <t>Posttraumatic stress disorder</t>
  </si>
  <si>
    <t>A 28-year-old male presents with a recent onset of upsetting dreams, anxiety, and disturbing flashbacks. The patient reports that he returned from active duty in Iraq 3 months ago and was adjusting to life back at home until about 7 weeks ago when he began having intense fear of loud noises and seeing sudden flashbacks to bombing attacks he endured during his time in Iraq. He had to take a leave from his army instructor duties as he was not able to handle the familiar settings of practice shooting ranges and sudden loud explosions during battalion training. After refusing to leave his house, he was finally persuaded by his wife to visit your clinic. What is the most likely diagnosis?</t>
  </si>
  <si>
    <t>Answer: D
 Reasoning: The patient presents with flashbacks, nightmares, anxiety, and hyperarousal (fear of loud noises) related to combat trauma that began 7 weeks ago, which is more than one month after the traumatic event. These symptoms are causing significant impairment (unable to work, avoiding situations). This duration (&gt;1 month post-trauma) distinguishes PTSD from acute stress disorder (which occurs within 3 days to 1 month post-trauma).
 Confidence: 95%</t>
  </si>
  <si>
    <t>Hypoxanthine-guanine phosphoribosyltransferase deficiency</t>
  </si>
  <si>
    <t>A 3-year-old boy is brought to the physician by his mother for the evaluation of delay in attaining developmental milestones. He could sit upright by 14 months and has not been able to walk without support. He can build a tower of 3 blocks and cannot use utensils to feed himself. He speaks in unclear 2-word phrases and cannot draw a circle yet. His mother has noticed him hitting his head against the wall on multiple occasions. He is at 20th percentile for height and at 50th percentile for weight. Vitals signs are within normal limits. Examination shows multiple lacerations of his lips and tongue. There are multiple healing wounds over his fingers. Neurological examination shows increased muscle tone in all extremities. Laboratory studies show:
 Hemoglobin 10.1 g/dL
 Mean corpuscular volume 103 μm3
 Serum
 Na+ 142 mEq/L
 Cl- 101 mEq/:
 K+ 4.1 mEq/L
 Creatinine 1.6 mg/dL
 Uric acid 12.3 mg/dL
 Which of the following is the most likely cause of this patient's findings?"</t>
  </si>
  <si>
    <t>Answer: D
 Reasoning: This patient presents with developmental delay, self-mutilatory behavior (lip/tongue/finger biting), spasticity, and laboratory findings of hyperuricemia (12.3 mg/dL) with elevated creatinine. This constellation is classic for Lesch-Nyhan syndrome, caused by deficiency of hypoxanthine-guanine phosphoribosyltransferase (HGPRT), leading to purine metabolism dysfunction and uric acid overproduction. The self-injurious behavior and hyperuricemia are pathognomonic features.
 Confidence: 98%</t>
  </si>
  <si>
    <t>Lymphangiosarcoma</t>
  </si>
  <si>
    <t>A 93-year-old woman is brought to the physician because of a purple area on her right arm that has been growing for one month. She has not had any pain or itching of the area. She has hyperlipidemia, a history of basal cell carcinoma treated with Mohs surgery 2 years ago, and a history of invasive ductal carcinoma of the right breast treated with radical mastectomy 57 years ago. She has had chronic lymphedema of the right upper extremity since the mastectomy. Her only medication is simvastatin. She lives in an assisted living facility. She is content with her living arrangement but feels guilty that she is dependent on others. Vital signs are within normal limits. Physical examination shows extensive edema of the right arm. Skin exam of the proximal upper right extremity shows three coalescing, 0.5–1.0 cm heterogeneous, purple-colored plaques with associated ulceration. Which of the following is the most likely diagnosis?</t>
  </si>
  <si>
    <t>Answer: A
 Reasoning: This patient presents with purple plaques and ulceration on her right arm in the context of chronic lymphedema following radical mastectomy 57 years ago. This clinical presentation is classic for Stewart-Treves syndrome, a rare angiosarcoma (lymphangiosarcoma) that develops in chronically lymphedematous limbs, typically years after mastectomy with axillary lymph node dissection.
 Confidence: 95%</t>
  </si>
  <si>
    <t>Frontotemporal dementia</t>
  </si>
  <si>
    <t>A 55-year-old man is brought to the physician because of inappropriate behavior for the past 6 months. He has been making inappropriate comments and jokes while talking to friends and family members. He was arrested 3 weeks ago while trying to kiss strangers on the street. He has no interest in talking to his daughter or playing with his grandchildren. During this period, he has developed a strong desire for chocolate pudding and potato chips and has gained 10 kg (22 lb). He appears unkempt. Vital signs are within normal limits. Physical examination is unremarkable. Mental status examination shows apathy and a blunt affect. He avoids answering questions and instead comments on the individuals he saw in the waiting room. Mini-Mental State Examination score is 28/30. A complete blood count and serum concentrations of glucose, creatine, and electrolytes are within the reference range. Which of the following is the most likely diagnosis?</t>
  </si>
  <si>
    <t>Answer: E
 Reasoning: This patient presents with behavioral disinhibition (inappropriate comments, kissing strangers), apathy, changes in eating behavior with specific food cravings, and personality changes while maintaining relatively preserved cognition (MMSE 28/30). These features are classic for frontotemporal dementia, specifically the behavioral variant, which typically affects the frontal and temporal lobes leading to early personality and behavioral changes rather than memory impairment.
 Confidence: 95%</t>
  </si>
  <si>
    <t>Embryonal carcinoma</t>
  </si>
  <si>
    <t>A 32-year-old Caucasian man presents to the physician because of the swelling and discomfort of the right testis for 3 weeks. There is no history of trauma, fever, or night sweats. He had surgery for an undescended right testis when he was 6 months old. There is no history of liver disease or hypogonadism. He has fathered 2 children. He takes no medications and denies any illicit drug use. The vital signs are within normal limits. Palpation of the scrotum reveals a firm nontender mass that cannot be separated from the right testis. Examination of the left testis shows no abnormalities. There is no supraclavicular or inguinal lymphadenopathy. Gynecomastia is present. The rest of the physical examination is unremarkable. Ultrasound shows an enlarged right testicle with a hypoechoic mass replacing a large portion of the normal architecture. The left testis is normal. The laboratory test results are as follows:
 HCG Elevated
 AFP Elevated
 LDH Normal
 Which of the following is the most likely diagnosis?</t>
  </si>
  <si>
    <t>Answer: A
 Reasoning: The presentation of a testicular mass in a patient with history of cryptorchidism (major risk factor), along with both elevated HCG and AFP, is most consistent with embryonal carcinoma or mixed germ cell tumor. Seminoma typically shows elevated HCG but not AFP. The presence of gynecomastia (from HCG elevation) and both tumor markers being elevated points to embryonal carcinoma as the most likely non-seminomatous germ cell tumor.
 Confidence: 85%</t>
  </si>
  <si>
    <t>Sexual abuse</t>
  </si>
  <si>
    <t>A 9-year-old girl presents with concerning sexualized behavior toward a classmate (touching genitals, attempting to insert a toy into classmate's genitals). Additional history includes recent move in with a family member, low socioeconomic status, and oppositional behavior at home.
 Let me analyze each option:
 **A. Adjustment disorder** - While the recent move could cause behavioral changes, adjustment disorder typically presents with anxiety, depression, or conduct disturbances. It does not explain the specific, age-inappropriate sexual behavior demonstrated.
 **B. ADHD** - Would present with inattention, hyperactivity, and impulsivity, but not with the specific sexualized behaviors described. This doesn't fit the clinical picture.
 **C. Normal variant of development** - By age 9, children should understand appropriate boundaries regarding touching others' genitals. This degree of sexualized behavior (attempting penetration with objects) is highly abnormal and concerning for this age group.
 **D. Precocious puberty** - This refers to early physical sexual maturation (before age 8 in girls). While it may cause some increased sexual curiosity, it does not typically result in the aggressive, age-inappropriate sexual behaviors described, particularly attempting to penetrate another child with objects.
 **E. Sexual abuse** - This presentation has multiple red flags for sexual abuse:
 - Sexualized behavior far beyond developmental norms
 - Reenacting sexual acts with peers (attempting penetration with objects)
 - Recent change in living situation (moved in with family member - potential new perpetrator access)
 - Behavioral changes (argumentative, isolating behavior)
 - Child is "too shy" to discuss what happened (may indicate fear, shame, or threats)
 The combination of inappropriate sexual knowledge/behavior in a 9-year-old, especially attempting to insert objects into another child's genitals, is a significant red flag for sexual abuse. This behavior suggests the child is reenacting experiences she has been exposed to.
 **Answer: E**
 **Reasoning:** The child displays age-inappropriate sexualized behavior that suggests exposure to sexual acts beyond normal developmental experiences. Attempting to insert toys into another child's genitals at age 9 is highly concerning for sexual abuse. Combined with recent living situation changes, social stressors, behavioral changes, and reluctance to discuss the situation, sexual abuse is the most likely diagnosis and requires immediate investigation and protective services involvement.
 **Confidence: 94%**</t>
  </si>
  <si>
    <t>Looking at this clinical scenario systematically:
 **Key Clinical Features:**
 - STEMI with delayed/no reperfusion therapy
 - Stable for 3 days post-MI
 - Sudden deterioration on day 4 with:
  - Agitation followed by unresponsiveness
  - No palpable pulse
  - Elevated JVP
  - Distant heart sounds
 **Classic Triad Present:** Beck's triad of cardiac tamponade
 1. Hypotension (no palpable pulse)
 2. Elevated JVP
 3. Muffled/distant heart sounds
 **Timing is Critical:**
 - Acute pericarditis: Occurs within 24-72 hours post-MI
 - Papillary muscle rupture: Days 2-7, presents with acute pulmonary edema and new murmur
 - Ventricular septal rupture: Days 3-5, presents with new harsh holosystolic murmur and heart failure
 - **Left ventricular free wall rupture: Days 3-5 (peak day 4-5)**
 - Pulmonary embolism: No specific timing, wouldn't cause Beck's triad
 **Pathophysiology:**
 Free wall rupture leads to hemopericardium → cardiac tamponade → rapid hemodynamic collapse. The patient was stable because there was no reperfusion (paradoxically protective in the acute phase), but this delayed the healing process, making late mechanical complications more likely.
 The sudden catastrophic deterioration on day 4 with classic tamponade physiology in a post-STEMI patient who didn't receive reperfusion therapy is pathognomonic for free wall rupture.
 **Answer: C**
 **Reasoning:** The presentation of sudden cardiovascular collapse on day 4 post-STEMI with Beck's triad (hypotension, elevated JVP, distant heart sounds) is classic for left ventricular free wall rupture with cardiac tamponade. This is the most common fatal mechanical complication of MI, occurring in 3-5 days post-infarction, especially in patients who don't receive reperfusion therapy.
 **Confidence: 95%**</t>
  </si>
  <si>
    <t>&lt;think&gt;
 Let me analyze this case systematically.
 **Key Clinical Features:**
 1. **Behavioral/Developmental:**
  - Inability to concentrate
  - Difficulty completing assignments
  - Interrupts others, talks excessively
  - Refuses to play with other children
  - Physical altercations with classmates
  - Cannot hop on one foot (delayed gross motor skills)
  - Difficulty using silverware (delayed fine motor skills)
  - Cannot follow three-step directions (cognitive delay)
 2. **Physical Examination:**
  - Small head (microcephaly)
  - Wide-spaced eyes (hypertelorism)
  - Short palpebral fissures
  - Thin and flat upper lip
  - Sunken nasal bridge
  - Small jaw (micrognathia)
  - 3/6 pansystolic murmur (cardiac defect, likely VSD)
 **Analysis of Options:**
 **A. Nondisjunction of chromosome 21 (Down syndrome):**
 - Features: Flat facial profile, upslanting palpebral fissures, epicanthal folds, cardiac defects
 - Does NOT typically present with thin upper lip, sunken nasal bridge, or the specific facial features described
 - Not the best fit
 **B. Deletion of long arm of chromosome 7 (Williams syndrome):**
 - Features: Elfin facies, broad forehead, stellate iris pattern, supravalvular aortic stenosis
 - Typically have overly friendly personality (not aggressive/refusing to play)
 - Not consistent with this presentation
 **C. Prenatal alcohol exposure (Fetal Alcohol Syndrome):**
 - **Classic triad:** Growth deficiency, CNS abnormalities, characteristic facial features
 - **Facial features:** Short palpebral fissures, smooth philtrum, thin upper lip, microcephaly
 - **CNS effects:** Intellectual disability, behavioral problems, attention deficits, hyperactivity
 - **Other features:** Cardiac defects (VSD common), developmental delays
 - **Perfect match for this case**
 **D. FMR1 gene mutation (Fragile X syndrome):**
 - Features: Long face, prominent ears, macroorchidism (post-pubertal), intellectual disability
 - Does not present with the described facial features or microcephaly
 - Not the best fit
 **E. Maternal intake of phenytoin (Fetal hydantoin syndrome):**
 - Features: Craniofacial abnormalities, nail/digit hypoplasia, growth deficiency
 - Can have cardiac defects but facial features differ from this case
 - Less likely than FAS
 **Conclusion:**
 The combination of:
 - Microcephaly
 - Short palpebral fissures
 - Thin, flat upper lip
 - Smooth philtrum (sunken nasal bridge area)
 - Behavioral problems (impulsivity, hyperactivity, social difficulties)
 - Cardiac defect
 - Developmental delays
 This is classic for **Fetal Alcohol Syndrome (FAS)**.
 &lt;/think&gt;
 **Answer: C**
 **Reasoning:** This 6-year-old presents with the classic triad of fetal alcohol syndrome (FAS):
 1. **Characteristic facial features:** 
  - Short palpebral fissures
  - Thin and flat upper lip
  - Smooth philtrum (sunken nasal bridge)
  - Microcephaly
  - Micrognathia
 2. **CNS dysfunction:**
  - Behavioral problems (impulsivity, interrupting, excessive talking)
  - Attention deficits and difficulty concentrating
  - Social difficulties (refuses to play with others, physical altercations)
  - Developmental delays (motor skills, inability to follow multi-step directions)
 3. **Cardiac defect:** Pansystolic murmur consistent with VSD (common in FAS)
 The constellation of smooth philtrum, thin upper lip, short palpebral fissures, and microcephaly with behavioral/cognitive impairments is pathognomonic for prenatal alcohol exposure. Down syndrome would present with different facial features (upslanting fissures, flat nasal bridge). Williams syndrome patients are typically overly friendly. Fragile X presents with macrocephaly and different facial features. Fetal hydantoin syndrome lacks these specific facial characteristics.
 **Confidence:** 95%</t>
  </si>
  <si>
    <t>Looking at this case systematically:
 **Key Clinical Features:**
 - 57-year-old man with severe, generalized abdominal pain
 - Pain worse after meals (postprandial pain)
 - Bloody diarrhea
 - **Irregularly irregular pulse at 105/min** - this is pathognomonic for atrial fibrillation
 - Physical exam shows only mild periumbilical tenderness despite severe pain ("pain out of proportion to physical findings")
 **Critical Clue:** The irregularly irregular pulse indicates atrial fibrillation, which is a major risk factor for thromboembolism. The superior mesenteric artery is a common site for embolic occlusion in patients with atrial fibrillation.
 **Classic Triad of Acute Mesenteric Ischemia:**
 1. Severe abdominal pain out of proportion to physical findings ✓
 2. Postprandial pain (intestinal angina) ✓
 3. Risk factors for thromboembolism (atrial fibrillation) ✓
 **Why not the other options:**
 - **A. Acute pancreatitis:** Would expect epigastric pain radiating to the back, elevated amylase/lipase, and risk factors like alcohol or gallstones
 - **B. Crohn's disease:** More chronic presentation, typically RLQ pain, and doesn't explain the atrial fibrillation significance
 - **D. Diverticular disease:** Usually presents with LLQ pain in older patients; doesn't cause pain out of proportion to findings
 - **E. Gastroenteritis:** Would not cause severe pain out of proportion to exam or be associated with atrial fibrillation as a risk factor
 **Answer: C**
 **Reasoning:** The combination of atrial fibrillation (irregularly irregular pulse), severe postprandial abdominal pain that is disproportionate to mild physical findings, and bloody diarrhea is classic for acute mesenteric ischemia due to embolic occlusion of the superior mesenteric artery. This is a surgical emergency requiring urgent intervention.
 **Confidence: 95%**</t>
  </si>
  <si>
    <t>&lt;analysis&gt;
 Let me analyze this case systematically:
 **Key Clinical Features:**
 - 5-year-old male
 - 5 episodes over 10 months (episodic pattern)
 - Each episode: awakens early morning with pallor, fever, lethargy, severe nausea
 - Followed by 8-12 episodes of non-bilious vomiting over 24 hours
 - **Complete return to normal between episodes**
 - No vision changes, gait disturbance, or blood in stool
 - **Family history of migraine headaches**
 - Normal vital signs, physical exam, CBC, CMP, and abdominal X-ray
 **Analysis of Options:**
 **A. Reye's syndrome:**
 - Typically follows viral illness with aspirin use
 - Progressive encephalopathy with hepatic dysfunction
 - Would show abnormal LFTs and mental status changes
 - Does NOT have complete recovery between episodes
 - Unlikely given normal labs and recovery pattern
 **B. Intracranial mass:**
 - Would typically cause progressive symptoms
 - Morning vomiting can occur (increased ICP when supine)
 - Should have concerning neurological signs (vision changes, gait disturbance, papilledema)
 - Symptoms wouldn't completely resolve between episodes
 - Review of systems negative for neurological symptoms
 **C. Cyclic vomiting syndrome:**
 - **Stereotypical episodes of intense vomiting separated by symptom-free intervals**
 - Often awakens in early morning
 - Episodes last hours to days
 - **Strong association with family history of migraines**
 - Diagnosis of exclusion after normal workup
 - **Perfectly fits this presentation**
 **D. Gastroesophageal reflux:**
 - Would cause chronic, recurring symptoms
 - Not episodic with complete resolution
 - Typically postprandial, worsens when lying down
 - Doesn't explain the stereotypical, time-limited episodes
 **E. Intussusception:**
 - Acute abdominal emergency
 - "Currant jelly" stools (blood in stool)
 - Colicky abdominal pain
 - Doesn't resolve spontaneously and recur months later
 - Would be visible on abdominal imaging
 **Diagnosis:**
 This is a classic presentation of **Cyclic Vomiting Syndrome (CVS)**:
 - Stereotypical episodes of intense vomiting
 - Complete wellness between episodes
 - Early morning onset
 - Strong association with migraine family history
 - Normal workup excluding other pathology
 &lt;/analysis&gt;
 Answer: C
 Reasoning: This presentation is pathognomonic for cyclic vomiting syndrome - stereotypical episodes of severe vomiting with complete return to baseline between episodes, early morning onset, and strong family history of migraines. The normal workup excludes other causes, and the episodic nature with full recovery distinguishes it from progressive neurological conditions or chronic GI pathology.
 Confidence: 95%</t>
  </si>
  <si>
    <t># Answer: D
 ## Reasoning:
 The clinical presentation is classic for **acute gout**:
 ### Key Diagnostic Features:
 1. **Crystal Analysis (Most Important)**: Negatively birefringent needle-shaped crystals are **pathognomonic for monosodium urate crystals**, which confirm gout. This is the definitive diagnostic finding.
 2. **Clinical Presentation**:
  - Sudden onset of severe joint pain that woke patient from sleep (typical of acute gout attacks)
  - Monoarticular involvement (single joint)
  - Proximal interphalangeal (PIP) joint affected
  - Joint is swollen, warm, tender, and erythematous
 3. **Risk Factors**:
  - Heavy alcohol consumption (especially beer, which increases uric acid production and decreases excretion)
  - Recent alcohol intake (3-4 beers the night before) - alcohol is a common trigger
  - Male sex
  - Middle age
 4. **Laboratory Findings**:
  - Elevated WBC (16,000/mm³) and ESR (55 mm/hr) indicate inflammation
  - Synovial fluid WBC 30,000 cells/µL consistent with inflammatory arthritis
  - Negative culture rules out septic arthritis
 ### Why Not Other Options:
 - **A. Pseudogout**: Would show positively birefringent rhomboid-shaped calcium pyrophosphate crystals, not negative birefringent needle-shaped crystals
 - **B. Chronic gout**: First episode with acute presentation; no history of recurrent attacks or tophi
 - **C. Septic arthritis**: Negative culture makes this unlikely
 - **E. Reactive arthritis**: Typically follows GI/GU infection, involves multiple joints, and doesn't show urate crystals
 ## Confidence: 98%
 The negatively birefringent needle-shaped crystals are diagnostic for gout, making this diagnosis virtually certain.</t>
  </si>
  <si>
    <t>A 61-year-old man presents with a 3-week history of fatigue, diarrhea, and crampy abdominal pain (worse after eating), along with oral ulcers. Key findings include:
 **Clinical features:**
 - Watery diarrhea (up to 4 times daily)
 - Right lower quadrant tenderness
 - Oral ulcerative lesions (extraintestinal manifestation)
 - Postprandial pain
 - Recent travel to Dominican Republic (4 months ago - likely not relevant given timing)
 **Laboratory findings:**
 - Microcytic anemia (Hb 11.5 g/dL, MCV 77 fL) - suggests chronic blood loss or iron deficiency
 - Mild leukocytosis (11,800/mm³)
 - Low-grade fever (37.9°C)
 **Pathology (most important):**
 - **Non-caseating granulomas**
 - **Neutrophilic inflammation of the crypts (cryptitis)**
 - Location: colonic mucosa
 **Analysis of options:**
 A. **Diverticulitis** - Would not show granulomas; typically presents with acute localized infection
 B. **Tropical sprue** - Malabsorption syndrome; does not cause granulomas
 C. **Crohn disease** - Characterized by non-caseating granulomas, can affect any part of GI tract, causes oral ulcers (aphthous ulcers), transmural inflammation with cryptitis, and presents with diarrhea and abdominal pain
 D. **Celiac disease** - Shows villous atrophy, not granulomas; no cryptitis
 E. **Whipple disease** - Shows PAS-positive macrophages with Tropheryma whipplei, not granulomas
 The pathognomonic finding of **non-caseating granulomas** combined with cryptitis, oral ulcers (extraintestinal manifestation), and the clinical presentation of chronic diarrhea with RLQ pain strongly suggests Crohn disease.
 **Answer: C**
 **Reasoning:** The presence of non-caseating granulomas on biopsy is the key diagnostic feature that distinguishes Crohn disease from other inflammatory bowel conditions. Combined with oral ulcers (a common extraintestinal manifestation), chronic diarrhea, RLQ tenderness, and cryptitis, this presentation is classic for Crohn disease.
 **Confidence: 95%**</t>
  </si>
  <si>
    <t>To solve this clinical problem, I need to analyze the key findings and understand the anatomical relationships.
 **Key Clinical Findings:**
 1. 6-year-old boy with 3-week history of limping
 2. Positive Trendelenburg test: When standing on right leg, the left pelvis sags
 3. Otherwise healthy with normal vital signs
 4. No other abnormalities on examination
 **Understanding the Trendelenburg Test:**
 - When standing on one leg, the pelvis should remain level or elevate slightly on the non-weight-bearing side
 - This requires proper function of the hip abductors (gluteus medius and minimus) on the stance side
 - These muscles are innervated by the superior gluteal nerve
 - A positive test (sagging of the opposite pelvis) indicates weakness of hip abductors on the stance side
 **Analysis of the Trendelenburg Sign:**
 - Standing on RIGHT leg → LEFT pelvis sags
 - This means the RIGHT hip abductors are weak
 - The RIGHT gluteus medius/minimus are not functioning properly
 - This indicates damage to the RIGHT superior gluteal nerve
 **Eliminating Other Options:**
 - **A. L5 radiculopathy**: Would cause more diffuse symptoms including foot drop, not isolated hip abductor weakness
 - **B. Left inferior gluteal nerve**: This innervates gluteus maximus (hip extensor), not involved in Trendelenburg test; also wrong side
 - **C. Spinal abscess**: Would present with fever, systemic symptoms, and likely neurological deficits
 - **D. Right common peroneal nerve**: Causes foot drop and sensory loss over dorsum of foot, not hip abductor weakness
 **Answer: E**
 **Reasoning:** The positive Trendelenburg test (left pelvis sagging when standing on right leg) indicates weakness of the right hip abductors (gluteus medius and minimus), which are innervated by the right superior gluteal nerve. This nerve can be damaged iatrogenically (though unlikely in this case), from trauma, or from compression. The timing after DTaP vaccine is likely coincidental, though gluteal injections given improperly could theoretically cause such injury.
 **Confidence: 95%**</t>
  </si>
  <si>
    <t>&lt;analysis&gt;
 Let me analyze this case systematically:
 **Patient Profile:**
 - 3-year-old boy with known sickle cell disease
 - Recent onset (1 week ago) of flu-like symptoms
 - Progressive anemia
 **Key Clinical Findings:**
 - Fever (39.0°C)
 - Pallor (skin and conjunctivae)
 - Splenomegaly
 - No rash or lymphadenopathy
 **Critical Laboratory Findings:**
 - Severe anemia: Hb 5.4 g/dL (normal ~11-13 g/dL for age)
 - **Reticulocyte count 0.1% (critically low)**
 - RBC 1.6 million/mm3 (very low)
 - MCV 86 fL (normocytic)
 - MCHC 37.5% (normal to slightly high)
 - WBC elevated with lymphocytosis and atypical lymphocytes
 - **Negative Coombs test (rules out immune hemolysis)**
 - Peripheral smear shows sickle cells
 **Key Diagnostic Clue:**
 The **severely depressed reticulocyte count (0.1%)** in a patient with sickle cell disease is the most critical finding. In sickle cell disease, patients typically have chronic hemolysis with compensatory reticulocytosis (usually 5-15%). A sudden drop in reticulocytes with worsening anemia indicates an **aplastic crisis**.
 **Analysis of Options:**
 A. **Parvovirus infection**: Parvovirus B19 specifically targets erythroid progenitor cells in bone marrow, causing transient red cell aplasia. This leads to:
  - Aplastic crisis in patients with chronic hemolytic conditions (like sickle cell disease)
  - Reticulocytopenia (hallmark finding)
  - Flu-like prodrome
  - Worsening anemia without increased hemolysis
  - This fits perfectly with the presentation
 B. **IgG-mediated hemolytic anemia**: Would show:
  - Positive Coombs test (ruled out here)
  - Elevated reticulocytes (opposite of what we see)
  - Does not fit
 C. **Sickle cell disease**: While the patient has SCD, this is his baseline condition. The acute presentation with reticulocytopenia represents a complication (aplastic crisis), not the underlying SCD itself.
 D. **Myelofibrosis**: Very rare in children, would show tear-drop cells and leukoerythroblastic picture
 E. **Fanconi's anemia**: Constitutional aplastic anemia with pancytopenia and congenital anomalies; doesn't fit acute presentation
 **Reasoning:**
 This is a classic presentation of **aplastic crisis** in a child with sickle cell disease caused by parvovirus B19 infection. The virus destroys red cell precursors, leading to:
 - Acute worsening of anemia
 - Reticulocytopenia (pathognomonic)
 - Flu-like prodrome
 - Atypical lymphocytes (viral response)
 The negative Coombs test rules out immune hemolysis, and the low reticulocyte count is the key to differentiating aplastic crisis from other causes of acute anemia in SCD.
 &lt;/analysis&gt;
 Answer: A
 Reasoning: The critically low reticulocyte count (0.1%) in a patient with sickle cell disease presenting with flu-like symptoms and worsening anemia is pathognomonic for aplastic crisis. Parvovirus B19 specifically targets erythroid progenitor cells, causing transient red cell aplasia. This results in acute anemia with reticulocytopenia in patients with chronic hemolytic conditions. The negative Coombs test excludes immune-mediated hemolysis, and the acute presentation with viral prodrome strongly supports parvovirus B19 as the etiology.
 Confidence: 95%</t>
  </si>
  <si>
    <t>**A 40-year-old woman comes to the emergency department because of difficulty walking for the past 4 hours. She first noticed her symptoms after getting up this morning and her foot dragging while walking. She feels tired. She has a history of chronic sinusitis. Six months ago, she was diagnosed with asthma. Current medications include an albuterol inhaler and inhaled corticosteroids. Her temperature is 38.9°C (102°F), pulse is 80/min, and her blood pressure is 140/90 mm Hg. Auscultation of her lungs shows diffuse wheezing over bilateral lung fields. Physical examination shows tender subcutaneous nodules on the extensor surfaces of the elbows. There are palpable, non-blanching erythematous lesions on both shins. Dorsiflexion of the right foot is impaired. Sensation to pinprick, light touch, and vibration is decreased over the ulnar aspect of the left forearm. Laboratory studies show:**
 **Hemoglobin 11.3 g/dL**
 **Leukocyte count 24,500**
 **Segmented neutrophils 48%**
 **Eosinophils 29%**
 **Lymphocytes 19%**
 **Monocytes 4%**
 **Platelet count 290,000/mm3**
 **Serum**
 **Urea nitrogen 32 mg/dL**
 **Creatinine 1.85 mg/dL**
 **Urine**
 **Blood 2+**
 **Protein 3+**
 **Which of the following is the most likely diagnosis in this patient?**
 A. Granulomatosis with polyangiitis
 B. Goodpasture syndrome
 C. Henoch-Schönlein purpura
 D. Excessive glucocorticoid use
 E. Eosinophilic granulomatosis with polyangiitis
 **Answer: E**
 **Reasoning:** This patient presents with the classic triad of eosinophilic granulomatosis with polyangiitis (EGPA, formerly Churg-Strauss syndrome):
 1. **Asthma/Allergic disease**: Recent asthma diagnosis, chronic sinusitis, wheezing
 2. **Marked eosinophilia**: 29% eosinophils (normal &lt;5%), with absolute count &gt;7,000/mm³
 3. **Systemic vasculitis**: Multiple organ involvement including:
  - Mononeuritis multiplex (foot drop from peroneal nerve, ulnar nerve distribution sensory loss)
  - Renal involvement (elevated creatinine, hematuria, proteinuria)
  - Skin manifestations (palpable purpura, subcutaneous nodules)
 The presence of peripheral neuropathy (mononeuritis multiplex) with marked eosinophilia in an asthmatic patient is pathognomonic for EGPA. Granulomatosis with polyangiitis (GPA) would not present with such marked eosinophilia or the asthma history. Goodpasture syndrome primarily affects lungs and kidneys without neuropathy or eosinophilia. HSP is typically a pediatric disease without eosinophilia or neuropathy. Glucocorticoid use would not explain the acute vasculitic presentation and multisystem involvement.
 **Confidence: 95%**</t>
  </si>
  <si>
    <t>A 64-year-old woman with progressive vision loss presents with characteristic fundoscopic findings. Let me analyze this systematically.
 **Key Clinical Features:**
 - Progressive difficulty reading over 6 months (not helped by corrective lenses)
 - Type 2 diabetes mellitus and hypertension
 - Sluggish pupillary light reflex
 - Severely reduced visual acuity (6/60 left, counting fingers right)
 - **Pallor of optic disc bilaterally**
 - **Increased cup-to-disc ratio: 0.7 (left) and 0.9 (right), compared to normal 0.3**
 **Analysis of Options:**
 **A. Hypertensive retinopathy:** Would show arteriovenous nicking, copper/silver wiring, cotton-wool spots, hemorrhages. Optic disc cupping is not a feature.
 **B. Age-related macular degeneration:** Would show drusen, pigmentary changes, or geographic atrophy/neovascularization on fundoscopy. The optic disc would be normal. This doesn't explain the optic disc findings.
 **C. Diabetic retinopathy:** Would show microaneurysms, dot-blot hemorrhages, hard exudates, cotton-wool spots, and potentially neovascularization. While diabetic patients can have optic disc changes, marked cupping is not characteristic.
 **D. Open-angle glaucoma:** 
 - Progressive, painless vision loss ✓
 - Sluggish pupils (afferent pupillary defect in advanced disease) ✓
 - **Optic disc cupping (pathognomonic finding)** ✓
 - **Increased cup-to-disc ratio** ✓
 - **Optic disc pallor** ✓
 - Risk factors: age, possibly diabetes
 - The bilateral involvement with asymmetry (right worse than left) fits the pattern
 **E. Optic neuritis:** Would be acute/subacute, unilateral, with pain on eye movement, and optic disc swelling initially (not cupping).
 **Answer: D**
 **Reasoning:** The hallmark finding is the dramatically increased cup-to-disc ratio (0.7 and 0.9 versus normal 0.3) with optic disc pallor, which is pathognomonic for glaucomatous optic neuropathy. Open-angle glaucoma presents with painless, progressive vision loss and characteristically causes optic nerve damage with cupping. The sluggish pupillary reflexes reflect advanced optic nerve damage. While she has diabetes and hypertension, the fundoscopic findings specifically point to glaucoma rather than retinopathy from these conditions.
 **Confidence: 95%**</t>
  </si>
  <si>
    <t>Looking at this case systematically:
 **Key Clinical Features:**
 - 53-year-old male with 40 pack-year smoking history
 - Right flank pain (gradual onset over months)
 - Hematuria (gross, past week)
 - Elevated hemoglobin (17) and hematocrit (51%) - polycythemia
 - No fever, chills, or dysuria
 - Normotensive, otherwise unremarkable exam
 **Classical Triad Analysis:**
 This presentation demonstrates the **classic triad of renal cell carcinoma (RCC)**:
 1. Flank pain
 2. Hematuria
 3. Palpable abdominal mass (though not present in this case - only 10% present with complete triad)
 **Paraneoplastic Syndrome:**
 The polycythemia (Hgb 17, Hct 51%) is highly significant. RCC can produce erythropoietin as a paraneoplastic syndrome, leading to secondary polycythemia. This finding is seen in approximately 20% of RCC cases.
 **Risk Factors:**
 - Smoking (40 pack-years) - significant risk factor for RCC
 - Male gender
 - Age &gt;50
 **Ruling Out Other Options:**
 - **D. Pyelonephritis**: No fever, no leukocytes in urine, no dysuria - excluded
 - **B. Polycystic kidney disease**: Would typically present earlier, bilateral findings, family history - unlikely
 - **C. AAA**: Doesn't explain hematuria or polycythemia
 - **E. Renal oncocytoma**: Benign tumor, wouldn't cause paraneoplastic polycythemia, less common
 **Answer: A**
 **Reasoning:** The combination of flank pain, hematuria, polycythemia (paraneoplastic erythropoietin production), and significant smoking history in a middle-aged male strongly suggests renal cell carcinoma. The polycythemia is a key distinguishing feature that points specifically to RCC as a paraneoplastic phenomenon.
 **Confidence: 95%**</t>
  </si>
  <si>
    <t>Looking at this case systematically:
 **Key Clinical Features:**
 - 74-year-old woman with diabetes (immunocompromised state)
 - Progressive erythematous and edematous skin rash over 2 weeks
 - Location: anterior aspect of right tibia
 - **Poorly demarcated** region of erythema and edema
 - 2-3 mm linear skin break (portal of entry)
 - Tenderness to palpation and warmth
 - Low-grade fever (37.8°C/100.1°F)
 - **No vesicles, pustules, papules, or nodules**
 - Negative for DVT or abscess
 **Analysis of Options:**
 **A. Erysipelas** - Involves superficial dermis and lymphatics, characterized by:
 - **Well-demarcated, raised borders** (key distinguishing feature)
 - Often affects face or legs
 - The question specifically states "poorly demarcated" - this rules out erysipelas
 **B. Cellulitis** - Infection of deeper dermis and subcutaneous tissue:
 - **Poorly demarcated borders** ✓
 - Erythema, edema, warmth, tenderness ✓
 - Often has portal of entry (the linear break) ✓
 - Can occur anywhere but common on lower extremities ✓
 - Low-grade fever ✓
 - Risk factors: diabetes ✓
 - All features match perfectly
 **C. Irritant contact dermatitis** - Would typically have:
 - History of exposure to irritant
 - May have vesicles or scaling
 - Less likely to cause systemic symptoms like fever
 - Does not fit the clinical picture
 **D. Folliculitis** - Inflammation of hair follicles:
 - Would present with **pustules or papules** centered on follicles
 - Question explicitly states no pustules, papules, or nodules
 - Ruled out
 **E. Gas gangrene** - Would show:
 - Rapid progression (hours to days, not 2 weeks)
 - Severe systemic toxicity
 - Crepitus, bullae, tissue necrosis
 - Much more severe presentation
 - Does not fit
 **Answer: B**
 **Reasoning:** The poorly demarcated erythema and edema with associated warmth and tenderness in a diabetic patient with a portal of entry is classic for cellulitis. The explicit absence of well-demarcated borders rules out erysipelas, and the absence of pustules/papules rules out folliculitis. The subacute 2-week progression and lack of severe systemic symptoms rule out gas gangrene.
 **Confidence: 95%**</t>
  </si>
  <si>
    <t>A 6-month-old boy presents with progressive motor weakness, weak cry/suck, flaccid paralysis, and diminished reflexes. Let me analyze the key features:
 **Key Clinical Features:**
 - Age: 6 months
 - Progressive weakness (appeared "normal" until recent weeks)
 - Motor delays: difficulty rolling over, sitting unsupported
 - Weak cry and suck (bulbar involvement)
 - Symmetric flaccid weakness of all extremities
 - Bell-shaped chest (respiratory muscle weakness)
 - Diminished deep tendon reflexes
 - Preserved facial movements (smile, furrowing brow, extraocular movements)
 - Normal birth history
 **Differential Diagnosis:**
 This constellation of findings is classic for **Spinal Muscular Atrophy (SMA) Type 1** (Werdnig-Hoffmann disease):
 - Presents in first 6 months of life
 - Progressive symmetric flaccid paralysis
 - Weak cry/suck (bulbar involvement)
 - Preserved facial and extraocular movements (characteristic feature)
 - Bell-shaped chest from intercostal muscle weakness with preserved diaphragm
 - Areflexia/hyporeflexia
 - Caused by degeneration of anterior horn cells (lower motor neurons)
 **Analysis of Options:**
 A. **Anterior horn cell degeneration** - SMA caused by SMN1 gene mutation
 B. Axonal demyelination - Suggests Guillain-Barré syndrome (acute onset, usually post-infection)
 C. Decreased acetylcholine receptor density - Myasthenia gravis (rare in infants, has fluctuating weakness)
 D. Impaired acetylcholine release - Infant botulism (acute onset, includes dilated pupils)
 E. Myonecrosis - Muscular dystrophy (usually later onset, elevated CK)
 The preserved facial and extraocular movements distinguish SMA from other conditions affecting the neuromuscular junction or muscles themselves.
 **Answer: A**
 **Reasoning:** The clinical presentation of a 6-month-old with progressive symmetric flaccid weakness, weak cry/suck, bell-shaped chest, diminished reflexes, but preserved facial and extraocular movements is pathognomonic for Spinal Muscular Atrophy Type 1, caused by degeneration of anterior horn cells in the spinal cord due to SMN1 gene deficiency.
 **Confidence: 95%**</t>
  </si>
  <si>
    <t>Looking at this case systematically:
 **Clinical Timeline:**
 1. Initial presentation: Hemorrhagic shock from wrist lacerations
 2. Treatment: IV fluids, rapid transfusion, norepinephrine
 3. Initial improvement: BP and mental status improved
 4. **30 minutes later: Clinical deterioration with:**
  - Fever (103°F/39.4°C)
  - Hemodynamic instability (BP 90/60, HR 122)
  - Decreased GCS (15 → 11)
  - Flank pain
  - New lab abnormalities
 **Key Laboratory Findings:**
 - **Low haptoglobin (11 mg/dL)** - indicates hemolysis
 - **Elevated bilirubin (3.2 mg/dL)** - from hemoglobin breakdown
 - Elevated creatinine (1.5 mg/dL) - acute kidney injury
 - Anemia (Hb 9 g/dL, Hct 27%)
 **Analysis:**
 This is a **hemolytic transfusion reaction** occurring shortly after blood transfusion, characterized by:
 - Fever
 - Flank pain (classic symptom)
 - Hemolysis (low haptoglobin, hyperbilirubinemia)
 - Hemodynamic instability
 - Acute kidney injury
 **Differentiating the options:**
 A. **TRALI (Non-cardiogenic acute lung injury)** - Would present with respiratory distress, hypoxemia, bilateral pulmonary infiltrates - not seen here
 B. **IgA deficiency** - Causes anaphylactic reactions in IgA-deficient patients receiving IgA-containing blood - presents with anaphylaxis, not hemolysis
 C. **Major blood group incompatibility (ABO)** - Most severe form; causes intravascular hemolysis, fever, flank pain, hemoglobinuria, DIC. Timeline and severity fit perfectly.
 D. **Minor blood group incompatibility** - Involves antibodies in donor plasma against recipient RBCs; generally less severe and slower onset
 E. **FNHTR (Febrile non-hemolytic transfusion reaction)** - Caused by recipient antibodies against donor leukocytes; presents with fever but NO hemolysis
 **The presence of hemolysis (low haptoglobin, hyperbilirubinemia) with fever, flank pain, and acute kidney injury within 30 minutes of transfusion is pathognomonic for acute hemolytic transfusion reaction from major (ABO) incompatibility.**
 **Answer: C**
 **Reasoning:** The patient developed acute hemolytic transfusion reaction evidenced by fever, flank pain, hemolysis (low haptoglobin, elevated bilirubin), and acute kidney injury shortly after rapid transfusion. This constellation of findings with rapid onset (&lt;1 hour) is classic for major ABO blood group incompatibility, the most severe form of transfusion reaction.
 **Confidence: 95%**</t>
  </si>
  <si>
    <t>Looking at this case systematically:
 **Key Clinical Features:**
 - 24-year-old woman
 - Severe cramping abdominal and lower back pain
 - Similar episode 1 month ago (suggesting cyclical pattern)
 - Light menstrual flow (1 pad/day is normal to light)
 - Sexually active without contraception
 - Normal vital signs
 - Benign abdominal exam
 - Normal pelvic exam (no masses, no adnexal tenderness, no cervical motion tenderness)
 **Analysis of Options:**
 **A. Adenomyosis** - Typically occurs in women &gt;30-35 years old, often parous. Causes heavy menstrual bleeding (menorrhagia), which this patient does not have. Unlikely at age 24.
 **B. Appendicitis** - Would present with focal right lower quadrant tenderness, possible fever/elevated WBC, not cyclical pain. The normal abdominal exam and monthly recurrence make this unlikely.
 **C. Ectopic pregnancy** - Important consideration given sexual activity without contraception, but:
 - Normal pelvic exam (no adnexal mass/tenderness)
 - Normal vital signs (not hemodynamically compromised)
 - Monthly recurrence pattern doesn't fit
 - Would expect positive pregnancy test
 **D. Leiomyoma (fibroids)** - Can cause pain and heavy bleeding, but pelvic exam shows no masses. More common in older women.
 **E. Primary dysmenorrhea** - Fits perfectly:
 - Typical age (adolescence to mid-20s)
 - Cramping pain in lower abdomen/back
 - Cyclical pattern (monthly recurrence)
 - Normal pelvic exam
 - Normal menstrual flow
 - No underlying pelvic pathology
 The monthly recurrence and completely normal physical examination are most consistent with primary dysmenorrhea, which is a clinical diagnosis of exclusion in young women with cyclic pelvic pain and normal examination.
 **Answer: E**
 **Reasoning:** The cyclical nature of severe cramping pain occurring monthly, combined with the patient's young age, normal menstrual flow, and completely normal physical examination findings, is classic for primary dysmenorrhea. This is a diagnosis of exclusion when no structural pathology is identified.
 **Confidence: 88%**</t>
  </si>
  <si>
    <t>Looking at this clinical presentation systematically:
 **Key Clinical Features:**
 - Episodic severe RUQ pain (classic biliary colic pattern)
 - Nausea/vomiting during episodes
 - Asymptomatic between episodes
 - Mild scleral icterus
 - History of terminal ileum resection (Crohn's disease)
 - Obesity (BMI 32)
 **Laboratory Findings:**
 - Elevated total bilirubin: 4.1 mg/dL (suggests obstruction)
 - Elevated alkaline phosphatase: 348 U/L (cholestatic pattern)
 - Elevated transaminases (AST 187, ALT 260) - moderate elevation
 - This pattern indicates **obstructive jaundice**
 **Imaging Findings:**
 - Dilated common bile duct (10 mm, normal &lt;6 mm) - indicates obstruction
 - Multiple gallstones present
 - NO gallbladder wall thickening
 - NO pericholecystic fluid
 - Normal liver
 **Analysis of Options:**
 A. **Acute hepatitis A** - Would show predominantly hepatocellular pattern with very high transaminases (&gt;1000s), not obstructive pattern with dilated CBD
 B. **Choledocholithiasis** - FITS PERFECTLY:
  - Episodic pain (stone intermittently obstructing)
  - Dilated CBD (obstruction)
  - Obstructive lab pattern
  - Risk factors: gallstones present, obesity, terminal ileum resection (↓ bile salt reabsorption → cholesterol supersaturation)
 C. **Autoimmune hepatitis** - Chronic condition, wouldn't cause episodic symptoms or CBD dilation
 D. **Cholecystitis** - Would show gallbladder wall thickening and pericholecystic fluid (absent here), and wouldn't cause CBD dilation or this degree of hyperbilirubinemia
 E. **Pancreatitis** - Would show elevated amylase/lipase (not mentioned), epigastric pain radiating to back, not this obstructive pattern
 The **terminal ileum resection** is a crucial risk factor - it leads to decreased bile salt reabsorption, promoting cholesterol gallstone formation.
 **Answer: B**
 **Reasoning:** The combination of episodic RUQ pain, obstructive jaundice pattern (elevated bilirubin and alkaline phosphatase), dilated common bile duct (10 mm), and presence of gallstones definitively indicates choledocholithiasis (stone in the common bile duct). The absence of gallbladder inflammation rules out cholecystitis, and the history of terminal ileum resection is a known risk factor for cholesterol gallstone formation.
 **Confidence: 98%**</t>
  </si>
  <si>
    <t>Looking at this case systematically:
 **Key Clinical Features:**
 - Preterm delivery (33 weeks)
 - Small for gestational age (SGA) - 15th percentile for height and weight
 - Microcephaly - 1st percentile for head circumference
 - Jaundice
 - Hepatosplenomegaly
 - Periventricular calcifications
 - Maternal illness 2 months before delivery (cold/sore throat that resolved)
 **Analysis of Options:**
 **A. Crigler-Najjar syndrome** - Causes severe jaundice but does NOT cause microcephaly, hepatosplenomegaly, or intracranial calcifications. Excluded.
 **B. Congenital Zika virus infection** - Can cause microcephaly and calcifications, but calcifications are typically in cortex/subcortical areas, NOT periventricular. Also, no travel history mentioned. Less likely.
 **C. Fetal alcohol syndrome** - Causes microcephaly and growth restriction but does NOT cause hepatosplenomegaly, jaundice, or intracranial calcifications. No alcohol history mentioned. Excluded.
 **D. Congenital toxoplasmosis** - Part of TORCH infections. Can cause the classic triad:
 - Chorioretinitis
 - Hydrocephalus 
 - Intracranial calcifications (typically DIFFUSE or scattered, not specifically periventricular)
 **E. Congenital CMV infection** - The MOST common congenital infection. Classic presentation includes:
 - Microcephaly ✓
 - Growth restriction ✓
 - Hepatosplenomegaly ✓
 - Jaundice ✓
 - **PERIVENTRICULAR calcifications** (pathognomonic) ✓
 - Maternal mononucleosis-like illness during pregnancy ✓
 **The periventricular location of calcifications is the KEY distinguishing feature** - this is characteristic of CMV, while toxoplasmosis typically causes diffuse/scattered calcifications.
 Answer: E
 Reasoning: The combination of microcephaly, hepatosplenomegaly, jaundice, and specifically PERIVENTRICULAR calcifications is pathognomonic for congenital CMV infection. The periventricular location distinguishes this from toxoplasmosis (which causes more diffuse calcifications). The maternal illness 2 months prior is consistent with primary CMV infection during pregnancy.
 Confidence: 95%</t>
  </si>
  <si>
    <t>&lt;think&gt;
 Let me analyze this clinical presentation systematically:
 **Key Clinical Features:**
 - 7-year-old girl
 - Swelling of left periorbital region
 - Onset: yesterday morning
 - Painful, warm, soft lump on left eyelid
 - Eye movement does NOT worsen pain (important negative finding)
 - Redness and swelling of upper left eyelid
 - Involves hair follicles
 - Drains purulent fluid upon palpation
 **Analysis of Options:**
 **A. Hordeolum (Stye):**
 - Acute bacterial infection of eyelid glands
 - Two types: external (infection of eyelash follicle/glands of Zeis or Moll) or internal (meibomian gland)
 - Presents as painful, warm, red swelling
 - Involves hair follicles (external hordeolum)
 - May point and drain purulent material
 - This matches ALL the clinical features
 **B. Dacryocystitis:**
 - Infection of lacrimal sac
 - Located medially near inner canthus/nose
 - Presents with swelling, redness, pain at medial canthal area
 - Does NOT involve hair follicles
 - Wrong location - doesn't match
 **C. Blepharitis:**
 - Chronic inflammation of eyelid margins
 - Presents with crusting, scaling, irritation
 - NOT typically a discrete lump
 - Usually bilateral and chronic
 - Doesn't match acute presentation with purulent drainage
 **D. Xanthelasma:**
 - Cholesterol deposits in eyelid skin
 - Non-painful, yellowish plaques
 - NOT warm, NOT infected
 - No purulent drainage
 - Doesn't match at all
 **E. Chalazion:**
 - Chronic granulomatous inflammation of meibomian gland
 - Usually painLESS (key difference)
 - Firm, non-tender nodule
 - Does NOT typically drain purulent fluid
 - NOT acute presentation
 - Doesn't match the acute, painful, purulent presentation
 **Conclusion:**
 The acute onset, painful warm swelling involving hair follicles with purulent drainage is pathognomonic for hordeolum (stye). The fact that eye movement doesn't worsen pain helps rule out orbital cellulitis (a more serious condition).
 &lt;/think&gt;
 Answer: A
 Reasoning: The clinical presentation of an acute, painful, warm swelling of the upper eyelid that involves hair follicles and drains purulent fluid is classic for a hordeolum (stye). A hordeolum is a bacterial infection (typically Staphylococcus aureus) of the eyelid glands or hair follicles. The external hordeolum specifically involves the eyelash follicles and associated glands. The acute onset, localized tenderness, warmth, and purulent drainage distinguish this from a chalazion (which is typically painless and chronic) and blepharitis (which is a chronic diffuse inflammation). The location on the eyelid (not medial canthus) rules out dacryocystitis, and the acute infectious nature rules out xanthelasma.
 Confidence: 95%</t>
  </si>
  <si>
    <t>Looking at this case systematically:
 **Key Clinical Features:**
 - 54-year-old man with abdominal distension, nausea, decreased appetite
 - Cachectic appearance
 - History: CHF, diabetes, untreated hepatitis C, previous alcohol use
 - Recent inguinal hernia repair (3 months ago)
 - Ascites with shifting dullness
 **Critical Laboratory Findings:**
 Peritoneal fluid analysis:
 - **Cloudy appearance**
 - Cell count 550/mm³ with **lymphocytic predominance**
 - **Serum-Ascites Albumin Gradient (SAAG)**: 3.5 - 2.6 = **0.9 g/dL (LOW)**
 - **Peritoneal fluid protein: 3.5 g/dL (HIGH - exudative)**
 - **Triglycerides: 360 mg/dL (VERY HIGH)**
 - Glucose: 60 mg/dL (low)
 - Negative Gram stain
 **Analysis of SAAG:**
 - SAAG &lt;1.1 g/dL indicates **NON-portal hypertensive** ascites
 - This excludes cirrhosis and CHF as primary causes
 - Rules out option E (acute decompensated heart failure)
 **High Triglycerides (360 mg/dL):**
 - Triglycerides &gt;110-200 mg/dL in ascitic fluid = **CHYLOUS ASCITES**
 - Cloudy/milky appearance consistent with chyle
 - Lymphocytic predominance is typical
 **Differential for Chylous Ascites:**
 1. **Malignancy (especially lymphoma)** - most common cause in adults
 2. Trauma/surgery to lymphatic system
 3. Cirrhosis (but SAAG would be high)
 4. Tuberculosis peritonitis
 **Why Lymphoma (B) is most likely:**
 - Chylous ascites in adult = malignancy until proven otherwise
 - Cachexia suggests underlying malignancy
 - Lymphocytic predominance
 - Low SAAG excludes cirrhosis
 - Recent surgery was 3 months ago (not recent enough for option A)
 **Why not other options:**
 - A: Surgery 3 months ago is too remote; post-surgical ascites typically occurs within weeks
 - C: Negative Gram stain, lymphocytic (not neutrophilic) predominance
 - D: Nephrotic syndrome causes transudative ascites (low protein), not chylous
 - E: CHF would have SAAG ≥1.1 g/dL
 **Answer: B**
 **Reasoning:** The combination of chylous ascites (high triglycerides, cloudy appearance), low SAAG (&lt;1.1), lymphocytic predominance, and cachexia strongly suggests lymphoma causing lymphatic obstruction. Lymphoma is the most common cause of chylous ascites in adults.
 **Confidence: 88%**</t>
  </si>
  <si>
    <t>Looking at this case systematically:
 **Key Clinical Features:**
 - 2-day-old newborn at 36 weeks
 - Generalized convulsions, lethargy, feeding difficulty
 - Jaundice (icteric)
 - Growth restriction (weight and length at 5th percentile)
 - **Hydrocephalus** (head circumference at 99th percentile)
 - **Purpura**
 - **Posterior uveitis**
 - **Failed hearing screening**
 - **Cranial ultrasound**: ventricular dilatation, hyperechoic foci in cortex, basal ganglia, and **periventricular region** (indicating intracranial calcifications)
 **Classic TORCH Presentations:**
 **Congenital Toxoplasmosis** presents with:
 - Classic triad: Chorioretinitis, hydrocephalus, intracranial calcifications
 - Calcifications are typically **diffuse** (cortex, basal ganglia, **periventricular**)
 - Seizures
 - Hearing loss
 - Hepatosplenomegaly with jaundice
 - Thrombocytopenia with purpura/petechiae
 **Congenital Rubella** typically shows:
 - Cardiac defects (PDA, pulmonary stenosis)
 - Cataracts
 - "Blueberry muffin" rash
 - Microcephaly (NOT hydrocephalus)
 **Congenital Syphilis** features:
 - Rhinitis ("snuffles")
 - Hepatosplenomegaly
 - Osteochondritis
 - Usually no CNS calcifications or hydrocephalus at birth
 **Congenital Parvovirus**:
 - Severe anemia
 - Hydrops fetalis
 - No characteristic neurologic findings
 **Congenital Varicella**:
 - Limb hypoplasia
 - Skin scarring
 - Rare, and doesn't match this presentation
 **Diagnosis:**
 This case presents the **classic triad of congenital toxoplasmosis**: chorioretinitis (posterior uveitis), hydrocephalus, and intracranial calcifications (periventricular distribution). The additional features of seizures, hearing loss, growth restriction, and purpura all support this diagnosis.
 **Answer: A**
 **Reasoning:** The combination of hydrocephalus, periventricular calcifications, chorioretinitis (posterior uveitis), seizures, and hearing loss forms the classic presentation of congenital toxoplasmosis. The periventricular distribution of calcifications is particularly characteristic, distinguishing it from CMV (which also causes periventricular calcifications but is not an option here).
 **Confidence: 95%**</t>
  </si>
  <si>
    <t>Looking at this case systematically:
 **Key Clinical Findings:**
 1. Right-sided motor weakness (2/5 strength in upper extremity)
 2. Right-sided loss of light touch and vibration (dorsal column function)
 3. Left-sided loss of pinprick and temperature sensation
 4. Right-sided Horner's syndrome (miosis, ptosis)
 5. Upward-going Babinski on right (upper motor neuron sign)
 **Anatomical Analysis:**
 The classic presentation here is **ipsilateral motor and proprioceptive loss with contralateral pain/temperature loss**.
 This occurs because:
 - **Corticospinal tract** (motor): crosses at the medulla, so lesion causes ipsilateral weakness below the level
 - **Dorsal columns** (vibration/proprioception): ascend ipsilaterally until they cross in the medulla
 - **Spinothalamic tract** (pain/temperature): crosses at the spinal level of entry, so contralateral loss occurs
 The Horner's syndrome indicates involvement of sympathetic fibers, which can occur with cervical cord lesions.
 **Syndrome Differentiation:**
 - **Anterior cord**: Bilateral motor and spinothalamic loss, preserved dorsal columns - doesn't fit
 - **Central cord**: Upper extremity weakness &gt; lower, "cape-like" sensory loss - doesn't fit
 - **Hemisection (Brown-Séquard)**: Ipsilateral motor + proprioception loss, contralateral pain/temperature loss - **MATCHES**
 - **Posterior cord**: Only proprioception/vibration loss bilaterally - doesn't fit
 - **Syringomyelia**: "Cape-like" suspended sensory loss, typically bilateral - doesn't fit
 The stab wound to the neck causing hemisection of the spinal cord is the classic mechanism for Brown-Séquard syndrome.
 **Answer: C**
 **Reasoning:** This patient has classic Brown-Séquard syndrome (hemisection injury) characterized by ipsilateral motor weakness and loss of proprioception/vibration with contralateral loss of pain and temperature sensation. The penetrating trauma from a stab wound is the typical mechanism for this presentation.
 **Confidence: 95%**</t>
  </si>
  <si>
    <t>**A 65-year-old man is brought to the emergency department after coughing up copious amounts of blood-tinged sputum at his nursing home. He recently had an upper respiratory tract infection that was treated with antibiotics. He has a long-standing history of productive cough that has worsened since he had a stroke 3 years ago. He smoked a pack of cigarettes daily for 40 years until the stroke, after which he quit. The patient appears distressed and short of breath. His temperature is 38°C (100.4°F), pulse is 92/min, and blood pressure is 145/85 mm Hg. Pulse oximetry on room air shows an oxygen saturation of 92%. Physical examination shows digital clubbing and cyanosis of the lips. Coarse crackles are heard in the thorax. An x-ray of the chest shows increased translucency and tram-track opacities in the right lower lung field.**
 **Answer: A**
 **Reasoning:** The key diagnostic features pointing to bronchiectasis include:
 1. **Tram-track opacities on chest x-ray** - This is the pathognomonic radiographic finding for bronchiectasis, representing dilated, thickened bronchial walls seen in cross-section.
 2. **Long-standing productive cough** - Chronic productive cough with copious sputum is characteristic of bronchiectasis.
 3. **Hemoptysis** - Blood-tinged sputum is a common complication of bronchiectasis due to friable bronchial vessels.
 4. **Digital clubbing** - This is frequently associated with bronchiectasis and other chronic suppurative lung diseases.
 5. **History of stroke** - Post-stroke patients are at increased risk for aspiration, which can lead to recurrent infections and secondary bronchiectasis.
 6. **Coarse crackles** - These are typical auscultatory findings in bronchiectasis.
 7. **Recent upper respiratory infection with fever** - Suggests acute exacerbation of underlying chronic lung disease.
 While aspiration pneumonia is possible given his stroke history, the chronic productive cough, clubbing, and especially the tram-track opacities are classic for bronchiectasis. Emphysema wouldn't typically present with productive cough, hemoptysis, or tram-track opacities. Pulmonary embolism and lung cancer don't fit the chronic history and radiographic findings.
 **Confidence: 95%**</t>
  </si>
  <si>
    <t>Q: A 13-year-old female comes to your office complaining of dry, scaling skin. She is particularly concerned about the appearance of her skin around her peers. She indicates that she did not start having problems until she was 5 years of age, after which her skin has progressively become drier and scalier. She has tried all types of over-the-counter moisturizers with no resolution. What is the most likely diagnosis?
 A. Ichthyosis vulgaris
 B. Atopic dermatitis
 C. Psoriasis
 D. Miliaria
 E. Seborrheic dermatitis
 Answer: A
 Reasoning: The key features pointing to ichthyosis vulgaris include:
 1. Progressive dry, scaling skin that began at age 5 (typically presents in early childhood, often after infancy)
 2. Chronic, progressive worsening over time
 3. Poor response to standard moisturizers
 4. The description of scaling skin suggests a disorder of keratinization
 Ichthyosis vulgaris is the most common inherited disorder of keratinization, presenting with generalized dry, scaling skin that resembles fish scales. It typically manifests after the first few months of life and worsens with age.
 Atopic dermatitis usually presents earlier (often in infancy), is characterized by pruritus and eczematous lesions rather than just scaling, and tends to involve flexural areas. Psoriasis typically shows well-demarcated erythematous plaques with silvery scale, often with a different distribution pattern. Miliaria is an acute condition related to sweat duct obstruction. Seborrheic dermatitis typically affects sebaceous areas (scalp, face) with greasy scales.
 Confidence: 88%</t>
  </si>
  <si>
    <t>Looking at this case systematically:
 **Clinical Context:**
 - Post-operative day 5 after tricuspid valve surgery for endocarditis
 - On vancomycin and gentamicin for 5 days
 - Now presenting with bleeding (gums, surgical sites, epistaxis)
 **Key Laboratory Findings:**
 - PT: 27 seconds (elevated, normal ~11-13 seconds)
 - aPTT: 84 seconds (markedly elevated, normal ~25-35 seconds)
 - Platelet count: 150,000/mm³ (normal)
 - D-dimer: &lt;50 µg/L (normal)
 - Normal renal function (Cr 1.0)
 - Normal liver function (AST/ALT normal)
 - MCV: 110 fL (macrocytic)
 **Analysis of Options:**
 **A. Antibiotic therapy** - This is the most likely answer. The patient has been on prolonged antibiotic therapy and has risk factors for vitamin K deficiency:
 - BMI 16 (severely malnourished)
 - Homeless, prostitute, IV drug user (likely poor nutrition)
 - Recent surgery
 - Prolonged antibiotics kill gut flora that produce vitamin K
 Vitamin K deficiency causes:
 - Elevated PT and aPTT (factors II, VII, IX, X affected)
 - Normal platelets
 - Bleeding manifestations
 **B. Coagulation cascade activation (DIC)** - Would show:
 - Elevated D-dimer (hers is normal)
 - Low platelets (hers are normal)
 - Can be ruled out
 **C. Bacterial infection** - Would cause DIC if severe, but D-dimer is normal and platelets are normal
 **D. Defect in von Willebrand factor** - Would show:
 - Prolonged aPTT, normal PT
 - This is acquired, not congenital, but doesn't fit the acute post-op timeline as well
 **E. Factor VIII deficiency** - Would show:
 - Prolonged aPTT only, normal PT
 - PT is also elevated here
 **Answer: A**
 **Reasoning:** This malnourished patient on prolonged broad-spectrum antibiotics has developed vitamin K deficiency, leading to impaired synthesis of vitamin K-dependent clotting factors (II, VII, IX, X). This causes prolongation of both PT and aPTT with normal platelet count and D-dimer, consistent with her presentation. The antibiotics eliminate gut bacteria that synthesize vitamin K, and her poor nutritional status (BMI 16, homelessness, substance abuse) makes her particularly vulnerable.
 **Confidence: 88%**</t>
  </si>
  <si>
    <t>A 27-year-old man presents with 4 days of abdominal pain, diarrhea, weakness, subjective fever, and 11-pound weight loss. Key findings include:
 **Clinical Features:**
 - Multiple shallow painful oral ulcers
 - Generalized abdominal tenderness with increased bowel sounds
 - Guaiac-positive stool (occult GI bleeding)
 - Significant weight loss in short period
 - Young age presentation
 **History:**
 - Celiac disease (autoimmune condition - relevant)
 **Laboratory findings:**
 - Mild anemia (Hb 12 g/dL)
 - Otherwise normal labs
 **Differential Analysis:**
 **Option A (ANCA positivity):** Suggests ulcerative colitis or microscopic polyangiitis. UC typically presents with bloody diarrhea and is associated with p-ANCA. However, oral ulcers are NOT a typical feature of UC.
 **Option B (ASCA positivity):** Anti-Saccharomyces cerevisiae antibodies are associated with Crohn's disease. This fits perfectly:
 - Oral ulcers (aphthous ulcers are common in Crohn's)
 - Abdominal pain and diarrhea
 - Weight loss
 - Young adult male
 - Can occur anywhere from mouth to anus
 - Associated with other autoimmune conditions (celiac disease)
 - Occult GI bleeding
 **Option C (Bleeding AVM):** Would cause GI bleeding but wouldn't explain oral ulcers, systemic symptoms, or the acute presentation with fever and diarrhea.
 **Option D (Dilated vascular structure in anal canal):** Describes hemorrhoids, which wouldn't cause oral ulcers, fever, or significant systemic symptoms.
 **Option E (Mucosal disruption):** Too vague and non-specific.
 The combination of **oral ulcers + chronic diarrhea + abdominal pain + weight loss + GI bleeding** in a young patient with another autoimmune condition strongly suggests **Crohn's disease**, which is associated with ASCA positivity.
 **Answer: B**
 **Reasoning:** The presentation of oral aphthous ulcers, chronic diarrhea with occult bleeding, abdominal pain, and weight loss in a young adult with a history of autoimmune disease (celiac) is classic for Crohn's disease. ASCA (Anti-Saccharomyces cerevisiae antibodies) positivity is a serologic marker associated with Crohn's disease.
 **Confidence: 94%**</t>
  </si>
  <si>
    <t>A 25-year-old woman presents with sadness starting 6 weeks postpartum, with symptoms including:
 - Sleep disturbance (difficulty staying asleep despite baby sleeping through night)
 - Difficulty concentrating/easily distracted
 - Loss of interest in previously enjoyed activities (cooking)
 - Fatigue
 - Decreased appetite
 - Poor eye contact
 - Symptoms have lasted for several weeks (currently infant is 9 months old, symptoms started at 6 weeks postpartum)
 - Not returned to work
 - Single mother with no partner support
 Key considerations:
 **Depression with peripartum-onset (C):** DSM-5 specifies this diagnosis when a major depressive episode occurs during pregnancy or within 4 weeks postpartum. However, some sources and clinical practice extend this timeframe to include onset within the first year postpartum, particularly when symptoms begin shortly after delivery.
 **Major depressive disorder (D):** The patient meets criteria for MDD with multiple symptoms (depressed mood, anhedonia, sleep disturbance, fatigue, decreased appetite, difficulty concentrating) lasting &gt;2 weeks. 
 **Distinguishing factors:**
 - The timing (onset at 6 weeks postpartum) is closely linked to childbirth
 - While technically beyond the strict DSM-5 4-week window, the 6-week onset is within the commonly recognized peripartum period
 - The context of new motherhood, gestational diabetes history, and single parenthood are relevant stressors
 - This represents a specifier of MDD rather than a separate entity
 **Other options:**
 - A (Disruptive mood dysregulation disorder): Applies to children/adolescents
 - B (Adjustment disorder): Would expect clear stressor and less severe symptoms
 - E (Normal behavior): Duration and severity exceed normal postpartum blues
 Answer: C
 Reasoning: This patient meets criteria for major depressive disorder with onset at 6 weeks postpartum. While DSM-5 technically defines peripartum onset as within 4 weeks of delivery, clinical practice and the ICD recognize postpartum depression occurring within the first year, especially with onset in the early postpartum period. The temporal relationship to childbirth and the clinical context make peripartum-onset depression the most specific diagnosis.
 Confidence: 78%</t>
  </si>
  <si>
    <t>**Answer: A**
 **Reasoning:** 
 This patient presents with several key clinical features that point to psoriatic arthritis:
 1. **Asymmetric oligoarticular arthritis**: The pattern of involvement (left knee initially, then right knee) suggests asymmetric joint involvement, which is characteristic of psoriatic arthritis rather than the symmetric polyarthritis typical of rheumatoid arthritis.
 2. **Nail pitting**: This is a classic dermatologic finding strongly associated with psoriasis and psoriatic arthritis, occurring in 10-55% of patients with psoriasis and up to 80% of those with psoriatic arthritis.
 3. **Dandruff/scalp involvement**: The patient's chronic "dandruff" requiring special shampoos likely represents scalp psoriasis, which is a common manifestation of psoriasis.
 4. **Back pain improving with rest**: This suggests axial involvement (spondylitis/sacroiliitis), which occurs in about 40% of psoriatic arthritis patients. While inflammatory back pain typically improves with activity (not rest), some patients may have mixed mechanical and inflammatory components.
 5. **Chronic course**: 16-year duration is consistent with chronic inflammatory arthritis.
 **Why other options are less likely:**
 - **B. Arthritis mutilans**: This is actually a severe, destructive subtype of psoriatic arthritis, but would show more dramatic deformities (telescoping digits)
 - **C. Rheumatoid arthritis**: Would typically show symmetric small joint involvement without nail changes or psoriasis
 - **D. Familial Mediterranean fever**: Presents with episodic fever and serositis, not chronic progressive arthritis
 - **E. Mixed connective tissue disease**: Would have features of lupus, scleroderma, and myositis
 **Confidence: 95%**</t>
  </si>
  <si>
    <t>Looking at this case systematically:
 **Key Clinical Features:**
 - Left leg weakness (2/5 strength)
 - Left extensor plantar reflex (Babinski sign)
 - Left lower extremity sensory loss
 - Urinary incontinence
 - Frontal lobe dysfunction: abulia (flat affect, poor initiation), impaired verbal fluency, perseveration
 **Localizing the Lesion:**
 The **contralateral motor and sensory deficits** in the **left lower extremity specifically** points to damage in the **right motor cortex's medial surface**, where the leg/foot is represented in the motor homunculus.
 The **frontal lobe signs** (abulia, reduced verbal fluency, inability to complete simple cognitive tasks) indicate involvement of the **frontal lobe**, particularly the supplementary motor area and medial frontal regions.
 The **urinary incontinence** occurs with medial frontal lobe lesions affecting the paracentral lobule and supplementary motor area, which are involved in bladder control.
 **Vascular Territory:**
 The **anterior cerebral artery (ACA)** supplies:
 - Medial surface of frontal and parietal lobes
 - Paracentral lobule (contains leg/foot motor and sensory cortex)
 - Supplementary motor area
 - Anterior corpus callosum
 **ACA Stroke Syndrome typically presents with:**
 - Contralateral leg weakness &gt; arm weakness
 - Sensory loss in contralateral leg
 - Urinary incontinence
 - Abulia and frontal executive dysfunction
 - Grasp reflex
 Since the patient has **LEFT-sided deficits**, the lesion must be in the **RIGHT hemisphere** → **Right ACA occlusion**
 **Answer: B**
 **Reasoning:** The constellation of isolated left lower extremity weakness, sensory loss, urinary incontinence, and frontal lobe executive dysfunction (abulia, poor verbal fluency) is classic for right anterior cerebral artery territory infarction. The ACA supplies the medial frontal and parietal cortex including the paracentral lobule where the motor and sensory leg representation is located.
 **Confidence:** 95%</t>
  </si>
  <si>
    <t>Looking at this clinical presentation systematically:
 **Key Clinical Features:**
 - 30-year-old woman with nervousness and sleep difficulty for 4 weeks
 - Worrying about relationship and future
 - Extreme need for order and organization
 - Distress over boyfriend's minor deviations from her rigid standards (dishes in sink vs. dishwasher, grocery list management)
 - Rigid meal planning expectations
 - Unable to tolerate flexibility ("will never be able to tolerate his 'flaws'")
 - Restricted affect with little intensity or range
 - Cooperative but distressed on exam
 **Differential Analysis:**
 **A. Major Depressive Disorder:** While sleep difficulty is present, there's no mention of depressed mood, anhedonia, or neurovegetative symptoms. The restricted affect alone is insufficient.
 **B. Generalized Anxiety Disorder:** The worry is not generalized across multiple domains but specifically focused on orderliness and control in daily routines. GAD would show more pervasive anxiety.
 **C. Obsessive-Compulsive Disorder:** OCD involves ego-dystonic intrusive thoughts and compulsive rituals performed to reduce anxiety. This patient views her need for order as reasonable and appropriate (ego-syntonic), not as excessive worries she wants to resist.
 **D. Obsessive-Compulsive Personality Disorder (OCPD):** This fits perfectly:
 - Preoccupation with orderliness and control
 - Perfectionism interfering with task completion/relationships
 - Excessive devotion to rules and organization
 - Rigidity and inflexibility (meal planning, cleaning routines)
 - Restricted emotional expression (affect with little intensity/range)
 - Ego-syntonic - she believes her standards are correct
 - Impaired relationships due to rigidity
 **E. Schizoid Personality Disorder:** This involves detachment from social relationships and restricted emotions, but this patient actively desires her relationship and her distress is about control/orderliness, not social withdrawal.
 **Answer: D**
 **Reasoning:** The patient demonstrates the hallmark features of obsessive-compulsive personality disorder: pervasive preoccupation with orderliness, perfectionism, and control at the expense of flexibility and relationship harmony. Her standards are ego-syntonic (she views them as correct), distinguishing this from OCD. The restricted affect and rigidity causing relationship distress are characteristic of OCPD.
 **Confidence: 94%**</t>
  </si>
  <si>
    <t>**Answer: C**
 **Reasoning:** 
 The key clinical features pointing to the diagnosis are:
 1. **Very short incubation period (2-3 hours)**: This is the most critical clue. The patient developed symptoms within 2-3 hours of eating at the barbecue buffet.
 2. **Food left unrefrigerated**: This provides ideal conditions for bacterial toxin production in food.
 3. **Watery diarrhea without blood**: The FOBT is negative, indicating non-invasive diarrhea.
 4. **Rapid onset, acute presentation**: Sudden onset of abdominal pain and multiple episodes of diarrhea.
 Let me analyze each option:
 - **Staphylococcus aureus (C)**: Causes food poisoning through preformed enterotoxins. Classic incubation period is 1-6 hours (typically 2-4 hours). Presents with nausea, vomiting, watery diarrhea, and abdominal cramps. This matches perfectly.
 - **Salmonella enteritidis (A)**: Incubation period is 6-72 hours (typically 12-36 hours). Too long for this case.
 - **Listeria monocytogenes (B)**: Incubation can be days to weeks. Typically affects pregnant women, neonates, elderly, and immunocompromised. Not consistent with this presentation.
 - **Campylobacter jejuni (D)**: Incubation period is 2-5 days. Often presents with bloody diarrhea (inflammatory). Timeline doesn't fit.
 - **Vibrio cholerae (E)**: Incubation is typically 1-3 days. While it causes profuse watery diarrhea, the timing is wrong and it's not associated with typical barbecue food poisoning in this setting.
 The 2-3 hour incubation period is pathognomonic for **Staphylococcus aureus** food poisoning, which occurs when preformed toxins in contaminated food (commonly mayonnaise-based salads, cream pastries, or other foods left at room temperature) are ingested.
 **Confidence: 95%**</t>
  </si>
  <si>
    <t># Analysis of Clinical Case
 ## Key Clinical Features:
 - **Patient**: 42-year-old obese female
 - **Chief complaint**: Left knee pain × 3 months
 - **Pain location**: Inside (medial) part of knee and front below kneecap
 - **Aggravating factors**: Climbing stairs, rising from chair
 - **No trauma/inciting injury**
 - **Physical exam**: 
  - Tenderness at anteromedial proximal tibia, **6 cm inferior to joint line**
  - No joint effusion
  - Negative valgus stress test (no MCL injury)
 - **Imaging**: Mild arthritis only, no fractures or lesions
 ## Differential Analysis:
 ### A. Stress fracture of proximal tibia
 - Would show on radiographs (at least periosteal reaction)
 - Usually associated with increased activity
 - **Unlikely** - normal radiographs, no trauma history
 ### B. Medial meniscus tear
 - Pain typically at joint line
 - Joint line tenderness (not 6 cm below)
 - May have effusion, mechanical symptoms
 - **Unlikely** - tenderness is 6 cm inferior to joint line
 ### C. MCL sprain
 - Would cause pain with valgus stress testing
 - Tenderness along MCL course (joint line level)
 - **Ruled out** - negative valgus stress test
 ### D. Pes anserine bursitis
 - Classic location: **anteromedial proximal tibia, 4-6 cm below joint line**
 - Common in obese middle-aged women
 - Pain with stairs, rising from chair (stresses pes anserine)
 - No trauma needed
 - Localized tenderness, no effusion
 - **Perfect match** with all clinical features
 ### E. Patellar tendonitis
 - Anterior knee pain at patellar tendon insertion
 - Tenderness at inferior pole of patella
 - "Jumper's knee"
 - **Unlikely** - wrong location (described as medial and 6 cm below joint line)
 ## Anatomical Correlation:
 The pes anserine is the common insertion of three tendons (sartorius, gracilis, semitendinosus) on the anteromedial proximal tibia, approximately 5-6 cm below the medial joint line. The pes anserine bursa lies beneath these tendons and can become inflamed, especially in obese patients with increased mechanical stress.
 **Answer: D**
 **Reasoning**: The precise location of maximal tenderness (anteromedial proximal tibia, 6 cm inferior to joint line) is pathognomonic for pes anserine bursitis. This diagnosis is further supported by the patient's obesity (a major risk factor), female sex, middle age, absence of trauma, pain with activities that stress the pes anserine insertion (stairs, rising from chair), and negative findings that rule out other pathology.
 **Confidence: 95%**</t>
  </si>
  <si>
    <t>A 21-year-old woman presents with chronic pelvic pain, dyspareunia (pain during intercourse), and new yellowish vaginal discharge. She has multiple sexual partners, uses an IUD for contraception, and presents with fever (39.1°C). Physical examination reveals cervical motion tenderness, adnexal tenderness, and uterine tenderness. Whiff test is negative and vaginal pH &gt; 4.5.
 Let me analyze each option:
 **A. Ectopic pregnancy**: While IUD users can have ectopic pregnancy, the presentation with fever, cervical motion tenderness, and purulent discharge is more consistent with infection. The chronic nature and multiple partners make infection more likely.
 **B. Appendicitis**: Would typically present with right lower quadrant pain, rebound tenderness, and migration of pain from periumbilical region. The bilateral adnexal tenderness, cervical motion tenderness, and vaginal discharge point away from this diagnosis.
 **C. Bacterial vaginosis**: The negative whiff test makes this unlikely. BV typically presents with a fishy odor (positive whiff test), thin gray-white discharge, and vaginal pH &gt; 4.5. However, BV does not cause fever, cervical motion tenderness, or significant pelvic pain.
 **D. Urinary tract infection**: Would present with dysuria, frequency, urgency, and possibly suprapubic tenderness. It would not typically cause cervical motion tenderness, adnexal tenderness, or vaginal discharge.
 **E. Pelvic inflammatory disease (PID)**: This presentation is classic for PID:
 - Risk factors: Multiple sexual partners, IUD use, young age
 - Symptoms: Pelvic pain, dyspareunia, purulent vaginal discharge
 - Signs: Fever, cervical motion tenderness (chandelier sign), adnexal tenderness, uterine tenderness
 - The "cervical motion tenderness" triad with fever is pathognomonic for PID
 The combination of cervical motion tenderness, bilateral adnexal tenderness, fever, and purulent discharge in a young woman with multiple sexual partners strongly suggests PID, likely caused by sexually transmitted pathogens (Chlamydia trachomatis or Neisseria gonorrhoeae).
 **Answer: E**
 **Reasoning**: The classic triad of cervical motion tenderness, adnexal tenderness, and uterine tenderness with fever and purulent vaginal discharge in a sexually active young woman with multiple partners is diagnostic of pelvic inflammatory disease. The IUD is an additional risk factor for ascending infection.
 **Confidence: 95%**</t>
  </si>
  <si>
    <t>&lt;think&gt;
 Let me analyze this case systematically:
 **Key Clinical Features:**
 - 10-year-old boy
 - 5-year history of recurrent sinus and upper respiratory infections
 - Recurrent diarrhea throughout childhood
 - Vital signs: Normal temperature, slight elevation in blood pressure (125/75 is high for a 10-year-old)
 - Lab: Abnormally low levels of ONE immunoglobulin isotype, normal levels of others
 **Analysis of Each Option:**
 **A. Chediak-Higashi syndrome:**
 - Presents with recurrent pyogenic infections, partial albinism, peripheral neuropathy, and giant granules in leukocytes
 - Not characterized by selective deficiency of a single immunoglobulin
 - Doesn't fit this presentation
 **B. Common variable immunodeficiency (CVID):**
 - Presents with recurrent infections
 - However, characterized by LOW levels of MULTIPLE immunoglobulin isotypes (typically IgG and IgA, sometimes IgM)
 - The key phrase "abnormally low levels of ONE immunoglobulin" rules this out
 **C. Drug-induced IgA deficiency:**
 - No mention of any medications in the history
 - Less likely given no drug history provided
 **D. Selective IgA deficiency:**
 - Most common primary immunodeficiency (1 in 700)
 - Characterized by low/absent IgA with NORMAL IgG and IgM levels
 - Classic presentation: recurrent sinopulmonary infections and GI infections/diarrhea
 - IgA is crucial for mucosal immunity (respiratory and GI tracts)
 - Fits perfectly: ONE immunoglobulin low, others normal
 - Age-appropriate presentation
 **E. Transient hypogammaglobulinemia of infancy:**
 - Occurs in infants (typically 3-6 months)
 - Resolves by age 2-4 years
 - This patient is 10 years old with 5-year history → rules this out
 **Answer:** The presentation of recurrent sinopulmonary infections and GI symptoms (diarrhea) with deficiency of ONE immunoglobulin while others are normal is classic for Selective IgA deficiency.
 &lt;/think&gt;
 **Answer: D**
 **Reasoning:** 
 This 10-year-old boy presents with the classic triad of selective IgA deficiency: (1) recurrent sinopulmonary infections, (2) gastrointestinal symptoms (recurrent diarrhea), and (3) laboratory findings showing deficiency of ONE immunoglobulin isotype with normal levels of others. Selective IgA deficiency is the most common primary immunodeficiency, affecting approximately 1 in 700 individuals. IgA is the predominant immunoglobulin in mucosal secretions, so its deficiency leads to increased susceptibility to infections at mucosal surfaces (respiratory and gastrointestinal tracts). The key distinguishing feature is that IgG and IgM levels remain normal, differentiating it from common variable immunodeficiency (which affects multiple isotypes) and transient hypogammaglobulinemia of infancy (which would have resolved by this age).
 **Confidence:** 95%</t>
  </si>
  <si>
    <t>A 40-year-old sailor involved in a navy ship collision presents with:
 - Inability to void despite urge to urinate
 - Tachycardia (pulse 140/min) and tachypnea (respirations 28/min)
 - Hypotension (BP 104/70 mm Hg)
 - Ecchymoses over scrotum and perineum
 - Suprapubic tenderness
 - Blood at urethral meatus
 - High-riding prostate on DRE
 - Moderately distended bladder on ultrasound
 - Fractures of all four pubic rami
 **Answer: D**
 **Reasoning:** This clinical presentation is classic for posterior urethral injury (membranous urethra). The key diagnostic features are:
 1. **Pelvic fractures (all four pubic rami)** - High-energy trauma causing pelvic ring disruption is the primary mechanism for posterior urethral injuries. The posterior urethra is tethered at the urogenital diaphragm and is vulnerable to shearing forces during pelvic fractures.
 2. **High-riding prostate** - This is pathognomonic for posterior urethral disruption. The prostate is displaced superiorly due to disruption of the urethral attachments and associated pelvic hematoma.
 3. **Blood at urethral meatus** - Indicates urethral injury.
 4. **Perineal/scrotal ecchymoses** - Results from extravasation of blood and urine into surrounding tissues (can extend into perineum, scrotum, and lower abdomen).
 5. **Inability to void with distended bladder** - Complete urethral disruption prevents urination.
 **Why not the others:**
 - A: Anterior urethral injury typically results from straddle injuries, not pelvic fractures, and wouldn't cause a high-riding prostate
 - B: Corpus cavernosum rupture presents with penile deformity and hematoma, not these findings
 - C: Bladder rupture would show free fluid on ultrasound and gross hematuria, not a distended bladder
 - E: Ureteral injury is rare and wouldn't explain blood at meatus or high-riding prostate
 **Confidence: 98%**</t>
  </si>
  <si>
    <t>A 3-month-old boy presents with a rash on his scalp and forehead that has been present for several weeks. The key clinical features are:
 **Key Clinical Features:**
 - Age: 3 months old
 - Location: Scalp, forehead, and hairline
 - Appearance: Erythematous patches with greasy yellow scales
 - Duration: Several weeks
 - Symptoms: Sometimes red and scaly, worse in cold weather
 - Child appears comfortable (not distressed)
 **Analysis of Options:**
 **A. Atopic dermatitis** - While common in infants, typically presents with dry, itchy patches on cheeks, extensor surfaces, and flexural areas. The greasy yellow scales are not characteristic. Usually causes significant pruritus.
 **B. Erythroderma** - This is a severe, generalized erythema affecting &gt;90% of body surface area, often life-threatening. Not consistent with localized scalp/forehead patches in a comfortable infant.
 **C. Seborrheic keratosis** - These are benign skin growths that occur in older adults, not in 3-month-old infants.
 **D. Allergic contact dermatitis** - Would require identification of an allergen and typically presents acutely after exposure. Less likely to have the characteristic greasy yellow scales or chronic presentation in this distribution.
 **E. Seborrheic dermatitis** - Classic presentation of infantile seborrheic dermatitis (cradle cap):
 - Peak incidence: First 3 months of life
 - Location: Scalp, forehead, hairline, eyebrows
 - Appearance: Erythematous patches with greasy, yellow, adherent scales
 - Generally non-pruritic (child comfortable)
 - Self-limiting condition
 The greasy yellow scales on erythematous base in scalp/forehead distribution in a 3-month-old infant is pathognomonic for seborrheic dermatitis.
 **Answer: E**
 **Reasoning:** The presentation of erythematous patches covered by greasy yellow scales on the scalp, forehead, and hairline in a 3-month-old infant is classic for infantile seborrheic dermatitis (cradle cap). The age, distribution, characteristic greasy scales, and lack of significant discomfort are all typical features.
 **Confidence: 95%**</t>
  </si>
  <si>
    <t>Looking at this clinical presentation systematically:
 **Key Clinical Features:**
 - 4-year-old boy with high fever (39.2°C)
 - Sore throat
 - Nausea, vomiting
 - Bloody diarrhea
 - Hypertension (123/81 mm Hg - significantly elevated for age)
 - Duration: 2 days
 **Critical Epidemiological Clue:**
 - **Several other children at preschool have similar symptoms** - this strongly suggests a common source outbreak
 **Analysis of Options:**
 A. **The new dog** - Timing (3 weeks ago) doesn't match acute 2-day illness. Dogs can transmit Campylobacter or Salmonella, but wouldn't cause simultaneous illness in multiple unrelated preschool children.
 B. **Recent antibiotic prescription** - No history of antibiotics mentioned; C. difficile typically causes watery (not bloody) diarrhea in this context.
 C. **Reheated fried rice** - Associated with Bacillus cereus, which causes primarily vomiting (short incubation) or diarrhea (8-16 hour incubation), but not bloody diarrhea or this constellation of symptoms. No mention of rice consumption.
 D. **Exposure to bacteria at school** - Multiple children affected simultaneously = common source. Bloody diarrhea + hypertension raises concern for **Shiga toxin-producing E. coli (STEC)**, particularly **E. coli O157:H7**. This can cause:
  - Hemorrhagic colitis (bloody diarrhea)
  - Fever
  - GI symptoms
  - Can progress to HUS (hemolytic uremic syndrome) with hypertension
  - Common in outbreaks at daycare/preschool settings
 E. **Failure to immunize** - While possible, the simultaneous outbreak pattern and specific symptom constellation (especially bloody diarrhea with hypertension) point more toward infectious gastroenteritis than a vaccine-preventable illness.
 **Answer: D**
 **Reasoning:** The most compelling evidence is that several children at preschool have similar symptoms, indicating a common infectious source. The combination of bloody diarrhea, fever, and hypertension in a 4-year-old is highly suggestive of STEC infection, which commonly causes outbreaks in daycare and preschool settings through fecal-oral transmission. The elevated blood pressure is particularly concerning for early hemolytic uremic syndrome, a known complication of STEC.
 **Confidence: 88%**</t>
  </si>
  <si>
    <t>Looking at this 1-day-old infant systematically:
 **Key Clinical Features:**
 1. **Cyanosis** with SpO2 80% - indicates cyanotic heart disease
 2. **Comfortable appearance despite hypoxia** - suggests obligate right-to-left shunting
 3. **Single S2** - suggests single arterial trunk or atresia of one semilunar valve
 4. **Harsh 3/6 systolic ejection murmur at LUSB** - suggests outflow obstruction
 5. **Right ventricular lift** - indicates RV hypertrophy
 6. **Left thumb displaced and hypoplastic** - congenital anomaly association (Holt-Oram syndrome features or VACTERL association)
 **Analysis of Options:**
 **A. Transposition of Great Vessels (TGV):**
 - Would present with severe cyanosis at birth ✓
 - S2 would typically be loud and single ✓
 - However, the murmur is not characteristic (TGV typically has no murmur or soft systolic murmur)
 - Limb anomalies are not typically associated
 **B. Tetralogy of Fallot (TOF):**
 - Classic presentation: cyanosis, single S2, harsh systolic ejection murmur at LUSB ✓✓✓
 - Right ventricular lift from RV hypertrophy ✓
 - Boot-shaped heart on CXR is classic
 - Associated with VACTERL and other congenital anomalies including limb defects ✓
 - All four components explain findings:
  - Pulmonary stenosis → murmur and single S2
  - RV hypertrophy → RV lift
  - Overriding aorta → allows right-to-left shunt
  - VSD → pathway for shunt
 **C. VSD:**
 - Isolated VSD rarely causes cyanosis at birth
 - Would not explain single S2
 **D. Transient tachypnea of newborn:**
 - Not cyanotic to this degree
 - Respiratory, not cardiac issue
 **E. Pneumothorax:**
 - Would cause respiratory distress
 - Would not explain murmur, single S2, or limb anomaly
 **Answer: B**
 **Reasoning:** The combination of cyanosis with comfortable appearance, single S2, harsh systolic ejection murmur at the left upper sternal border, right ventricular lift, and associated congenital limb anomaly is classic for Tetralogy of Fallot. The single S2 results from severe pulmonary stenosis (minimal pulmonary valve opening), and the murmur is from the stenotic right ventricular outflow tract. The association with other congenital anomalies (limb defects) is well-documented with TOF as part of VACTERL or other syndromes.
 **Confidence: 94%**</t>
  </si>
  <si>
    <t>Looking at this case systematically:
 **Key Clinical Features:**
 1. 41-year-old woman with positional symptoms (worse lying on left side)
 2. Recent syncope episode (10 days ago)
 3. Positional diastolic murmur (prominent in left lateral decubitus position)
 4. Signs of heart failure: JVD, pulmonary crackles, pulmonary congestion on CXR
 5. **Most important**: Echo shows mass in left atrium attached to atrial septum
 **Analysis of Options:**
 **A. Rheumatic fever** - Would cause valvular disease (mitral stenosis), not an intracardiac mass. Doesn't explain the echo finding.
 **B. Innocent murmur** - Clearly wrong given the presence of an atrial mass, heart failure signs, and syncope.
 **C. Subacute infective endocarditis** - Would show vegetations on valves, not a mass attached to the atrial septum. Would have fever, positive blood cultures, and other systemic signs.
 **D. Non-bacterial thrombotic endocarditis** - Also affects valves, not the atrial septum. Typically seen in malignancy or hypercoagulable states.
 **E. Atrial myxoma** - This is the classic presentation:
 - Most common primary cardiac tumor (75% benign cardiac tumors)
 - 75-80% occur in left atrium
 - Typically attached to atrial septum via a stalk
 - **Pathognomonic features**: 
  - Positional symptoms ("tumor plop" and symptoms vary with position)
  - Positional murmur due to obstruction of mitral valve
  - Syncope from acute obstruction
  - Constitutional symptoms possible
  - Can cause heart failure symptoms
 The combination of a left atrial mass attached to the atrial septum with positional symptoms and recent syncope is virtually diagnostic of atrial myxoma.
 **Answer: E**
 **Reasoning:** The echocardiographic finding of a mass in the left atrium attached to the atrial septum, combined with positional dyspnea, positional murmur, and syncope, is classic for atrial myxoma. This is the most common primary cardiac tumor and characteristically produces symptoms that vary with body position due to the pedunculated mass obstructing the mitral valve.
 **Confidence: 98%**</t>
  </si>
  <si>
    <t>Looking at this 45-year-old man with persistent facial reddening, let me analyze the key clinical features:
 **Key Clinical Findings:**
 - Persistent facial erythema (3 months) - especially cheeks, nose, ears
 - Difficulty concentrating
 - Generalized fatigue
 - **Falling asleep during important meetings** (excessive daytime somnolence)
 - **Short, wide neck**
 - **Obesity (BMI 30.4)**
 - Hypertension
 - Male, middle-aged, smoker
 **Clinical Reasoning:**
 The combination of:
 1. Facial plethora/erythema
 2. Excessive daytime sleepiness
 3. Short, wide neck
 4. Obesity
 5. Hypertension
 This constellation strongly suggests **obstructive sleep apnea (OSA)**.
 OSA causes:
 - Chronic intermittent hypoxemia during sleep
 - Compensatory polycythemia (increased RBC production) via increased EPO
 - The elevated hematocrit causes facial plethora/reddening
 - Daytime somnolence from poor sleep quality
 - Associated with obesity and characteristic neck anatomy
 **Evaluating other options:**
 - B (Increased serotonin): Would suggest carcinoid syndrome - no diarrhea, flushing episodes, or wheezing beyond baseline asthma
 - C (Delayed-type hypersensitivity): Would be acute contact dermatitis, not chronic
 - D (Antibody-mediated vasculopathy): Could be SLE with malar rash, but no other systemic features
 - E (Increased cortisol): Cushing's syndrome causes moon facies but the prominent somnolence and neck characteristics point more to OSA
 The facial erythema in OSA results from **polycythemia secondary to chronic hypoxemia**, which stimulates **increased EPO production** by the kidneys.
 **Answer: A**
 **Reasoning:** The patient's facial plethora combined with excessive daytime somnolence, obesity, short wide neck, and hypertension is classic for obstructive sleep apnea. The chronic nocturnal hypoxemia stimulates erythropoietin production, leading to polycythemia and the characteristic facial reddening.
 **Confidence: 88%**</t>
  </si>
  <si>
    <t>Looking at this case systematically:
 **Key Clinical Features:**
 - 58-year-old obese man (BMI 37.9 kg/m²)
 - Hypertension (150/95 mm Hg)
 - Morning headaches (worse on waking)
 - Difficulty concentrating
 - Loud snoring reported by wife
 - No other neurological abnormalities
 **Analysis of Each Option:**
 **A. Low circulating free thyroxine levels (Hypothyroidism)**
 - Can cause hypertension, but would typically present with weight gain despite reduced appetite, fatigue, cold intolerance, and bradycardia
 - This patient has normal pulse (72/min) and lacks other hypothyroid symptoms
 - Less likely
 **B. Nocturnal upper airway obstruction (Obstructive Sleep Apnea)**
 - Classic triad present: obesity, loud snoring, morning headaches
 - OSA causes intermittent hypoxemia → sympathetic activation → hypertension
 - Difficulty concentrating is consistent with poor sleep quality
 - Morning headaches from nocturnal CO2 retention and hypoxemia
 - Risk factors: male, middle-aged, obese (BMI 37.9), smoker
 - This directly explains his hypertension
 **C. Hypophyseal neoplasm (Pituitary tumor)**
 - Could cause headaches and hypertension (if secreting ACTH or GH)
 - Would expect additional features: visual field defects, acromegalic features, or Cushingoid features
 - None are present here
 **D. Hypersecretion of aldosterone (Primary hyperaldosteronism)**
 - Causes hypertension with hypokalemia
 - No mention of weakness, polyuria, or electrolyte abnormalities
 - Less common than OSA in this presentation
 **E. Low synaptic serotonin levels (Depression)**
 - Could explain concentration difficulties
 - Does NOT directly cause hypertension
 - Doesn't explain the complete clinical picture
 **Answer: B**
 **Reasoning:** This patient has classic features of obstructive sleep apnea (OSA): obesity (BMI 37.9), loud snoring, morning headaches, and difficulty concentrating. OSA is a well-established cause of secondary hypertension due to repeated episodes of hypoxemia and hypercapnia leading to increased sympathetic tone and vasoconstriction. The nocturnal upper airway obstruction directly explains both his hypertension and his other symptoms.
 **Confidence: 95%**</t>
  </si>
  <si>
    <t>Looking at this clinical presentation systematically:
 **Key Clinical Features:**
 - 61-year-old man with 40-year heavy smoking history (40-80 pack-years)
 - Progressive dyspnea over 5 years with severe exercise limitation
 - Bilateral wheezing on lung auscultation
 - Signs of right heart failure: plethoric face, distended JVP, bilateral lower extremity edema
 - Yellow finger discoloration (nicotine staining)
 - Tachypnea at rest
 **Diagnosis:** This is classic for severe COPD with cor pulmonale (right heart failure secondary to lung disease).
 **Pathophysiology Chain:**
 1. Chronic smoking → COPD (chronic bronchitis/emphysema)
 2. Chronic hypoxemia and lung parenchymal destruction
 3. Pulmonary vasoconstriction and vascular remodeling
 4. **Pulmonary hypertension** (elevated pulmonary artery pressure)
 5. Right ventricular strain and eventual failure
 6. Systemic venous congestion (JVD, peripheral edema)
 **Analysis of Options:**
 A. **Elevated pulmonary artery pressure** - This is the PRIMARY pathophysiologic mechanism causing his right heart failure symptoms. Pulmonary hypertension is the key link between his lung disease and cardiac manifestations.
 B. Increased left atrial pressure - Would suggest left heart failure, but no evidence of pulmonary congestion/crackles
 C. Chronic respiratory acidosis - May be present but is a consequence, not the cause of his heart failure symptoms
 D. Coronary plaque deposits - Would cause left-sided dysfunction primarily, not isolated right heart failure
 E. Decreased intrathoracic gas volume - Suggests restrictive disease, but wheezing indicates obstructive pathology
 **Answer: A**
 **Reasoning:** The patient has cor pulmonale from severe COPD. The most direct cause of his right heart failure symptoms (JVD, peripheral edema, plethoric face) is elevated pulmonary artery pressure (pulmonary hypertension). This is the critical pathophysiologic link between his chronic lung disease and cardiac dysfunction.
 **Confidence: 95%**</t>
  </si>
  <si>
    <t>Looking at this clinical presentation, I need to analyze the key features and determine the most likely cause of this first-trimester pregnancy loss.
 **Key Clinical Features:**
 - 23-year-old G1 (first pregnancy) at 10 weeks gestation
 - Sudden vaginal bleeding with clots
 - Open cervical os with products of conception visible (inevitable/incomplete abortion)
 - Subsided nausea (suggesting loss of pregnancy hormones)
 - No mention of fever, trauma, or history of recurrent losses
 **Analysis of Options:**
 **A. STD:** While infections can cause pregnancy loss, they typically present with fever, discharge, or other infectious symptoms. No such features are mentioned here.
 **B. Rh immunization:** This causes hemolytic disease in subsequent pregnancies (not the first) and typically occurs later in gestation, not at 10 weeks. The mother would need prior sensitization.
 **C. Antiphospholipid syndrome:** This causes recurrent pregnancy losses and thrombotic events. For a first pregnancy loss without history of recurrent miscarriages or thrombosis, this is unlikely to be the primary consideration.
 **D. Chromosomal abnormalities:** This is the most common cause of first-trimester miscarriage, accounting for 50-70% of early pregnancy losses. Most are sporadic events (aneuploidy like trisomies, monosomy X) that occur randomly during meiosis or early cell division.
 **E. Trauma:** No history of trauma is provided, and trauma is an uncommon cause of miscarriage in early pregnancy.
 **Epidemiological Context:**
 - Chromosomal abnormalities are responsible for the majority of first-trimester losses
 - This is a sporadic, first pregnancy loss
 - The presentation is typical for a spontaneous abortion without other complicating factors
 **Answer: D**
 **Reasoning:** In a first-trimester miscarriage (particularly at 10 weeks), chromosomal abnormalities are by far the most common cause, accounting for 50-70% of cases. This is a sporadic event in a first pregnancy with no features suggesting infection, trauma, or autoimmune disease. The clinical presentation is consistent with a typical early pregnancy loss due to aneuploidy.
 **Confidence: 95%**</t>
  </si>
  <si>
    <t>&lt;analysis&gt;
 Let me analyze this clinical presentation systematically:
 **Key Clinical Features:**
 - 4-year-old boy
 - Duration: 7 days (prolonged illness)
 - Symptoms: Fever, diarrhea, bilateral red eye
 - Daycare exposure (outbreak setting)
 - Up-to-date immunizations
 - Mild dehydration
 - Preauricular adenopathy
 - Bilateral conjunctival injection with watery discharge
 **Critical Diagnostic Clue:**
 The combination of gastroenteritis (fever and diarrhea) with conjunctivitis is the key to this diagnosis.
 **Analysis of Each Option:**
 **A. Rotavirus infection:**
 - Causes gastroenteritis in children
 - Typically presents with vomiting, diarrhea, fever
 - Does NOT typically cause conjunctivitis
 - Less common now with widespread vaccination
 **B. C. difficile colitis:**
 - Usually associated with antibiotic use
 - No mention of antibiotics
 - Does NOT cause conjunctivitis
 - Unlikely in this setting
 **C. Adenovirus infection:**
 - Known to cause pharyngoconjunctival fever
 - Classic triad: fever, pharyngitis, and conjunctivitis
 - Also causes gastroenteritis (especially serotypes 40, 41)
 - Can present with all symptoms described
 - Preauricular adenopathy is characteristic of adenoviral conjunctivitis
 - Common in daycare settings (highly contagious)
 - Watery discharge is typical
 - Duration of 7 days fits adenoviral infection
 **D. Norovirus infection:**
 - Common cause of gastroenteritis outbreaks
 - Causes fever, vomiting, diarrhea
 - Does NOT typically cause conjunctivitis
 - Usually shorter duration (1-3 days)
 **E. Vibrio parahaemolyticus infection:**
 - Associated with seafood consumption
 - Causes gastroenteritis
 - Does NOT cause conjunctivitis
 - Unlikely in daycare setting
 **Conclusion:**
 The combination of gastroenteritis with bilateral conjunctivitis and preauricular adenopathy in a daycare outbreak setting is pathognomonic for adenovirus infection. Adenovirus is one of the few pathogens that can cause both conjunctivitis and gastroenteritis simultaneously.
 &lt;/analysis&gt;
 Answer: C
 Reasoning: The key diagnostic feature is the simultaneous presentation of gastroenteritis (fever and diarrhea) with bilateral conjunctivitis and preauricular adenopathy. Adenovirus is well-known for causing pharyngoconjunctival fever and can also cause gastroenteritis. The preauricular adenopathy with watery conjunctival discharge is characteristic of adenoviral conjunctivitis. The daycare outbreak setting and 7-day duration are also consistent with adenovirus. Other gastroenteritis pathogens (rotavirus, norovirus) do not typically cause conjunctivitis.
 Confidence: 95%</t>
  </si>
  <si>
    <t>&lt;budget:token_budget&gt;200000&lt;/budget:token_budget&gt;
 Looking at this clinical presentation systematically:
 **Key Clinical Features:**
 - 34-year-old woman (postpartum period implied by infant son)
 - 3-month history of thumb and wrist pain radiating to elbow
 - Worse when holding her infant
 - Tenderness over radial styloid with swelling
 - **Positive Finkelstein test** (grasping thumb and exerting longitudinal traction toward ulnar side elicits pain)
 - Normal finger joint range of motion
 - No other joint involvement
 **Analysis of Options:**
 **A. De Quervain tenosynovitis** - This is inflammation of the abductor pollicis longus and extensor pollicis brevis tendons in the first dorsal compartment. Classic features include:
 - Pain over radial styloid
 - Common in new mothers (repetitive lifting of infant)
 - **Positive Finkelstein test** (pathognomonic)
 - Worsens with thumb/wrist use
 - This matches perfectly
 **B. Swan neck deformity** - This is a finger deformity (PIP hyperextension, DIP flexion) seen in rheumatoid arthritis, not a cause of radial-sided wrist pain
 **C. Mallet finger** - This involves DIP joint extensor tendon disruption causing inability to extend the DIP joint, not radial wrist pain
 **D. Carpal tunnel syndrome** - Would cause median nerve distribution symptoms (thumb, index, middle finger numbness/tingling), positive Tinel's/Phalen's signs, not tenderness over radial styloid or positive Finkelstein test
 **E. Stenosing tenosynovitis** - While technically De Quervain's is a form of stenosing tenosynovitis, this term more commonly refers to trigger finger (flexor tendon sheath inflammation), which doesn't match this presentation
 The positive Finkelstein test is virtually diagnostic for De Quervain tenosynovitis.
 **Answer: A**
 **Reasoning:** The combination of radial styloid tenderness, pain worse with infant care (repetitive wrist/thumb motion), and a positive Finkelstein test (pain with ulnar deviation while grasping the thumb) is pathognomonic for De Quervain tenosynovitis. This condition is particularly common in postpartum women due to repetitive lifting and holding of infants.
 **Confidence: 98%**</t>
  </si>
  <si>
    <t>&lt;analysis&gt;
 Let me analyze this clinical presentation systematically:
 **Key Clinical Features:**
 - 28-year-old male
 - Recently returned from active duty in Iraq (3 months ago)
 - Symptom onset: 7 weeks ago (approximately 5 weeks after returning home)
 - Symptoms include:
  - Upsetting dreams
  - Anxiety
  - Disturbing flashbacks to bombing attacks
  - Intense fear of loud noises (hyperarousal)
  - Avoidance behavior (refusing to leave house)
  - Unable to handle familiar military settings
  - Intrusive memories related to specific trauma
 **Timeline Analysis:**
 - Trauma exposure: During deployment in Iraq
 - Return home: 3 months ago
 - Symptom onset: 7 weeks ago (about 5 weeks post-trauma)
 - Duration of symptoms: 7 weeks (nearly 2 months)
 **Differential Diagnosis:**
 **A. Acute Stress Disorder:**
 - Occurs within 3 days to 1 month after trauma
 - Symptoms last 3 days to 1 month
 - This patient's symptoms began 5 weeks post-trauma and have lasted 7 weeks
 - **Does not fit the timeline**
 **B. Performance Anxiety:**
 - Limited to specific performance situations
 - This patient has pervasive symptoms including flashbacks, nightmares, avoidance, and hyperarousal
 - Symptoms are trauma-related, not performance-related
 - **Does not fit**
 **C. Schizophrenia:**
 - Would require hallucinations, delusions, disorganized speech/behavior
 - Flashbacks are re-experiencing actual traumatic events, not psychotic hallucinations
 - No mention of psychotic symptoms
 - **Does not fit**
 **D. Posttraumatic Stress Disorder (PTSD):**
 - Requires exposure to traumatic event ✓
 - Symptoms must persist &gt;1 month (this patient has 7 weeks) ✓
 - Four symptom clusters present:
  1. Intrusive symptoms: flashbacks, nightmares ✓
  2. Avoidance: refusing to leave house, avoiding military settings ✓
  3. Negative alterations in cognition/mood: anxiety ✓
  4. Alterations in arousal: hypervigilance to loud noises ✓
 - **Fits perfectly**
 **E. Panic Attack:**
 - This describes acute episodes, not a chronic syndrome
 - Patient has persistent symptoms with specific trauma-related triggers
 - **Does not fit**
 &lt;/analysis&gt;
 Answer: D
 Reasoning: This patient meets diagnostic criteria for PTSD with symptoms persisting for 7 weeks (&gt;1 month required for PTSD diagnosis). He has all four required symptom clusters: intrusive re-experiencing (flashbacks, nightmares), avoidance behaviors (refusing to leave house, unable to work), hyperarousal (fear of loud noises), and negative mood changes (anxiety). The timeline rules out acute stress disorder (which must occur within 1 month of trauma and last &lt;1 month). The trauma-specific nature of symptoms and absence of psychotic features rule out schizophrenia.
 Confidence: 95%</t>
  </si>
  <si>
    <t># Analysis of Clinical Case
 ## Key Clinical Features:
 1. **Developmental delay**: 
  - Sat upright at 14 months (normal: 6-9 months)
  - Cannot walk independently at 3 years
  - Limited fine motor skills (3-block tower)
  - Poor language development (unclear 2-word phrases)
 2. **Self-injurious behavior**:
  - Head banging against walls
  - Lacerations of lips and tongue
  - Healing wounds on fingers (self-biting)
 3. **Neurological findings**:
  - Increased muscle tone (spasticity) in all extremities
 4. **Laboratory abnormalities**:
  - **Elevated uric acid: 12.3 mg/dL** (normal pediatric: 2-5.5 mg/dL)
  - **Elevated creatinine: 1.6 mg/dL** (suggests kidney involvement)
  - Macrocytic anemia (MCV 103 μm³)
  - Mild anemia (Hgb 10.1 g/dL)
 ## Differential Analysis:
 **A. FMR1 gene mutation (Fragile X syndrome)**
 - Causes developmental delay and intellectual disability
 - Does NOT typically cause self-mutilation or hyperuricemia
 - ❌ Does not fit
 **B. MECP2 gene mutation (Rett syndrome)**
 - Primarily affects females
 - Involves developmental regression (not present here)
 - No hyperuricemia or self-mutilation of this type
 - ❌ Does not fit
 **C. Branched-chain alpha-ketoacid dehydrogenase deficiency (Maple Syrup Urine Disease)**
 - Presents in neonatal period with poor feeding, vomiting
 - Characteristic maple syrup odor
 - No hyperuricemia or self-mutilation
 - ❌ Does not fit
 **D. Hypoxanthine-guanine phosphoribosyltransferase (HGPRT) deficiency (Lesch-Nyhan syndrome)**
 - X-linked recessive disorder affecting males
 - Classic triad: 
  1. **Self-mutilating behavior** (lip/finger biting) ✓
  2. **Hyperuricemia** (leads to gout, nephrolithiasis) ✓
  3. **Neurological dysfunction** (dystonia, spasticity, developmental delay) ✓
 - Elevated creatinine from uric acid nephropathy ✓
 - Orange "sand" in diapers (uric acid crystals)
 - **Perfect match with all clinical and lab findings**
 **E. Microdeletion of paternal chromosome 15 (Prader-Willi syndrome)**
 - Features: hypotonia, obesity, hyperphagia
 - This patient has increased tone and normal weight
 - No hyperuricemia or self-mutilation
 - ❌ Does not fit
 ## Pathophysiology of Lesch-Nyhan:
 - HGPRT deficiency impairs purine salvage pathway
 - Results in excessive de novo purine synthesis
 - Leads to overproduction of uric acid
 - Compulsive self-injury is pathognomonic but mechanism unclear
 **Answer: D**
 **Reasoning:** The combination of self-mutilating behavior (lip and finger biting), developmental delay with spasticity, and markedly elevated uric acid (12.3 mg/dL) with elevated creatinine is pathognomonic for Lesch-Nyhan syndrome, caused by HGPRT deficiency. This X-linked recessive disorder affects males and presents with this classic triad of findings.
 **Confidence: 98%**</t>
  </si>
  <si>
    <t>A 93-year-old woman presents with a purple area on her right arm that has been growing for one month without pain or itching. She has chronic lymphedema of the right upper extremity following radical mastectomy 57 years ago. Physical examination shows extensive edema of the right arm with three coalescing, 0.5-1.0 cm heterogeneous, purple-colored plaques with associated ulceration on the proximal upper right extremity.
 **Answer: A**
 **Reasoning:** This clinical presentation is classic for Stewart-Treves syndrome, which is lymphangiosarcoma arising in the setting of chronic lymphedema. Key features supporting this diagnosis include:
 1. **Chronic lymphedema**: The patient has had lymphedema of the right arm for 57 years following radical mastectomy (a well-known risk factor)
 2. **Characteristic lesion appearance**: Purple-colored plaques that are coalescing with ulceration are typical of lymphangiosarcoma
 3. **Progressive growth**: The one-month history of growth suggests malignancy
 4. **Location**: Developing in the chronically lymphedematous limb
 5. **Time course**: Lymphangiosarcoma typically develops years to decades after the initiating event (in this case, 57 years post-mastectomy)
 **Why other options are less likely:**
 - **Cellulitis (B)**: Would present with erythema, warmth, tenderness, and systemic signs of infection
 - **Thrombophlebitis (C)**: Would be painful and typically presents along a vascular distribution
 - **Lichen planus (D)**: Presents with pruritic, purple, polygonal papules but not typically with ulceration or in this specific context
 - **Kaposi sarcoma (E)**: While it can present with purple plaques, it's typically associated with immunosuppression (HIV, transplant patients) and doesn't have the same association with chronic lymphedema
 **Confidence: 95%**</t>
  </si>
  <si>
    <t>A 55-year-old man presents with a 6-month history of inappropriate social behavior, personality changes, apathy, and specific food cravings with weight gain. Let me analyze each option:
 **Key Clinical Features:**
 - Inappropriate social behavior (comments, jokes, kissing strangers)
 - Loss of social inhibition
 - Apathy and loss of interest in family
 - Blunt affect
 - Specific food cravings (chocolate pudding, potato chips) - hyperorality
 - Preserved cognition (MMSE 28/30)
 - Normal physical examination
 - Normal laboratory findings
 **Analysis of Options:**
 **A. Parkinson disease:** Primarily a movement disorder with tremor, rigidity, and bradykinesia. While dementia can occur late in the disease, the prominent early behavioral and personality changes without motor symptoms make this unlikely.
 **B. Amyotrophic lateral sclerosis (ALS):** Primarily affects motor neurons causing weakness and muscle wasting. While frontotemporal dementia can overlap with ALS, the absence of motor symptoms and pure behavioral presentation makes this less likely.
 **C. Normal pressure hydrocephalus:** Classic triad includes gait disturbance, urinary incontinence, and dementia. This patient has normal gait and no mention of incontinence.
 **D. Wilson disease:** Presents with liver disease, neurological symptoms (movement disorders), and Kayser-Fleischer rings. Typically presents in younger patients (teens-30s). Normal physical exam and labs make this unlikely.
 **E. Frontotemporal dementia (FTD):** This fits perfectly with:
 - Behavioral variant FTD characteristics
 - Early personality and behavioral changes
 - Loss of social awareness and disinhibition
 - Apathy
 - Hyperorality and dietary changes (specific food preferences)
 - Relatively preserved memory and cognition early on (high MMSE)
 - Typical age of onset (45-65 years)
 **Answer: E**
 **Reasoning:** The constellation of disinhibited behavior, loss of empathy, apathy, hyperorality with specific food cravings, and preserved cognition (MMSE 28/30) is classic for behavioral variant frontotemporal dementia. FTD characteristically presents with prominent personality and behavioral changes before significant memory impairment, distinguishing it from Alzheimer's disease. The frontal lobe dysfunction explains the social disinhibition and inappropriate behavior.
 **Confidence: 95%**</t>
  </si>
  <si>
    <t>**Answer: A**
 **Reasoning:** 
 This patient presents with several key features pointing toward a testicular germ cell tumor:
 1. **Risk factor**: History of cryptorchidism (undescended testis), which increases testicular cancer risk 5-10 fold, even after orchiopexy
 2. **Age**: 32 years old, typical age for germ cell tumors (peak incidence 20-40 years)
 3. **Clinical presentation**: Firm, nontender testicular mass that cannot be separated from the testis
 4. **Imaging**: Hypoechoic mass replacing testicular architecture (classic for malignancy)
 5. **Gynecomastia**: Present, indicating hormone production by the tumor
 6. **Laboratory findings**: 
  - **Both HCG and AFP are elevated**
  - LDH is normal
 The elevation of **both HCG and AFP** is the critical distinguishing feature:
 - **Seminoma**: Produces elevated HCG in ~15% of cases, but **AFP is never elevated** in pure seminoma
 - **Embryonal carcinoma**: Can produce **both HCG and AFP**, and often presents as a mixed germ cell tumor
 - **Leydig cell tumor**: Would produce testosterone/estrogen (causing gynecomastia) but not typically HCG or AFP
 - **Lymphoma**: Would not produce these tumor markers
 - **Metastasis**: Less likely in a young patient without known primary; would not typically produce both markers
 The combination of elevated HCG AND AFP essentially rules out pure seminoma and points to a non-seminomatous germ cell tumor, most commonly embryonal carcinoma or mixed germ cell tumor containing embryonal elements.
 **Confidence: 94%**</t>
  </si>
  <si>
    <t>Reasoning: This case presents several concerning findings that warrant careful analysis. The key clinical detail is the sexually inappropriate behavior of a 9-year-old girl attempting to insert a toy into another child's genitals. While some sexual curiosity is developmentally normal in young children, this behavior is advanced, coercive, and mimics adult sexual activity in a way that is highly unusual for this age group.
 Children who have been sexually abused often exhibit age-inappropriate sexual knowledge and behaviors, including attempting to engage peers in sexual acts that replicate what they have experienced. The recent move to live with a family member creates a new environmental risk factor. The child's reluctance to speak with the physician and recent behavioral changes (argumentativeness, isolating herself) are consistent with trauma response and emotional distress.
 While adjustment disorder could explain some behavioral changes after a move, it does not account for the specific sexual behaviors. ADHD and precocious puberty would not cause this type of sexually coercive behavior. This is not a normal developmental variant, as the behavior described is far beyond age-appropriate sexual exploration.
 The constellation of sexually inappropriate and aggressive behavior toward peers, recent change in living situation, behavioral changes, and reluctance to communicate strongly suggests sexual abuse.
 Answer: E
 Confidence: 92%</t>
  </si>
  <si>
    <t>Reasoning: This patient presented with STEMI but did not receive timely reperfusion therapy (angiography was delayed). She remained stable for 3 days, then suddenly became agitated and unresponsive with loss of pulse. The key clinical findings are:
 1. **Elevated JVP** - indicates increased right atrial pressure
 2. **Distant heart sounds** - suggests fluid in the pericardial space muffling heart sounds
 3. **Loss of pulse with these findings** - classic Beck's triad (hypotension, elevated JVP, muffled heart sounds) indicating cardiac tamponade
 The timeline is critical: mechanical complications of MI typically occur at specific times post-infarction. Free wall rupture occurs 3-5 days post-MI when the infarcted myocardium is most vulnerable (maximal softening before scar formation). The sudden hemodynamic collapse with tamponade physiology (elevated JVP, distant heart sounds, pulselessness) is pathognomonic for left ventricular free wall rupture leading to hemopericardium and cardiac tamponade.
 VSR and papillary muscle rupture would present with new murmurs and pulmonary edema. Acute pericarditis would have preceded this event with chest pain and friction rub. Pulmonary embolism wouldn't explain the distant heart sounds.
 Answer: C
 Confidence: 95%</t>
  </si>
  <si>
    <t>Reasoning: This 6-year-old boy presents with behavioral problems (poor concentration, impulsivity, excessive talking, aggression), developmental delays (cannot hop on one foot, difficulty with silverware, cannot follow three-step directions), and distinctive dysmorphic features. The key physical findings include microcephaly (small head), wide-spaced eyes (hypertelorism), short palpebral fissures, thin and flat upper lip, sunken nasal bridge, and small jaw (micrognathia). Additionally, he has a cardiac abnormality indicated by the pansystolic murmur, suggesting a ventricular septal defect.
 This constellation of findings—particularly the facial features (smooth philtrum/thin upper lip, short palpebral fissures, micrognathia), microcephaly, developmental delays, behavioral problems, and cardiac defect—is highly characteristic of fetal alcohol syndrome (FAS). The facial features described are classic for prenatal alcohol exposure.
 Down syndrome (trisomy 21) would present with different facial features including upslanting palpebral fissures and protruding tongue. Williams syndrome (deletion of chromosome 7) presents with elfin facies and is associated with hypercalcemia. Fragile X syndrome typically presents with large ears, long face, and macro-orchidism in males. Fetal hydantoin syndrome (phenytoin exposure) can have some overlapping features but the classic triad of FAS features makes prenatal alcohol exposure most likely.
 Answer: C
 Confidence: 95%</t>
  </si>
  <si>
    <t>Reasoning: This 57-year-old man presents with severe, generalized abdominal pain that worsens after meals (postprandial pain), along with nausea and bloody diarrhea. The key finding is an "irregularly irregular pulse of 105/min," which is pathognomonic for atrial fibrillation. The classic triad of acute mesenteric ischemia includes: (1) severe abdominal pain out of proportion to physical examination findings (he has only mild periumbilical tenderness despite severe pain), (2) postprandial pain (intestinal angina), and (3) a cardiac source of emboli. Atrial fibrillation is the most common source of emboli to the superior mesenteric artery, causing acute mesenteric ischemia. The bloody diarrhea represents mucosal sloughing from ischemic bowel. Acute pancreatitis typically presents with epigastric pain radiating to the back and elevated lipase. Crohn's disease has a more chronic presentation. Diverticular disease usually presents with left lower quadrant pain. Gastroenteritis would not explain the severe pain out of proportion to exam or the atrial fibrillation context.
 Answer: C
 Confidence: 95%</t>
  </si>
  <si>
    <t>Reasoning: This 5-year-old boy presents with a classic pattern of episodic, stereotypical vomiting attacks occurring over 10 months. Key features include: (1) discrete episodes separated by symptom-free intervals where he returns to normal activity, (2) each episode begins early in the morning with prodromal symptoms (pallor, fever, lethargy, nausea), (3) followed by intense, non-bilious vomiting lasting approximately 24 hours, and (4) complete resolution between episodes. The family history of migraine headaches is particularly significant, as cyclic vomiting syndrome (CVS) is strongly associated with personal or family history of migraines and is considered part of the migraine spectrum disorders in children. The normal physical examination, vital signs, and unremarkable laboratory/imaging studies rule out structural or acute pathological causes. Reye's syndrome presents with acute encephalopathy and is not episodic. An intracranial mass would typically show progressive symptoms or neurological findings. GERD doesn't present with such discrete, severe episodic patterns. Intussusception is an acute surgical emergency with bloody stools and would not have a 10-month recurring course.
 Answer: C
 Confidence: 95%</t>
  </si>
  <si>
    <t>Reasoning: 
 This patient presents with acute onset of severe joint pain in the proximal interphalangeal (PIP) joint that woke him from sleep, which is characteristic of an acute inflammatory arthritis. Key diagnostic features include:
 1. **Synovial fluid analysis**: The presence of negatively birefringent needle-shaped crystals is pathognomonic for monosodium urate crystals, which confirm gout. In contrast, pseudogout shows positively birefringent rhomboid crystals (calcium pyrophosphate).
 2. **Clinical presentation**: Acute onset of severe monoarticular arthritis with warmth, erythema, and swelling is classic for acute gout. The severity that awakens the patient from sleep is typical of gout attacks.
 3. **Risk factors**: Alcohol consumption (especially beer, which is high in purines) is a well-known precipitant of gout attacks, and the patient consumed 3-4 beers the night before symptom onset.
 4. **Laboratory findings**: Elevated WBC (16,000), ESR (55), and synovial fluid WBC (30,000) all support acute inflammatory arthritis. The negative culture rules out septic arthritis.
 5. **First episode**: The patient states he has never had an episode like this before, making this an acute (first) presentation rather than chronic gout.
 Answer: D
 Confidence: 99%</t>
  </si>
  <si>
    <t>Reasoning: This 61-year-old man presents with chronic diarrhea, crampy abdominal pain (worse after eating), fatigue, and oral ulcers. Key laboratory findings include microcytic anemia (MCV 77 fL, Hgb 11.5 g/dL) and leukocytosis. The colonoscopy biopsy shows non-caseating granulomas and neutrophilic crypt inflammation (crypt abscesses), which are hallmark pathologic features of Crohn disease. The oral ulcers (aphthous ulcers) are a common extraintestinal manifestation of inflammatory bowel disease. The right lower quadrant tenderness corresponds to typical ileocecal involvement in Crohn disease. The microcytic anemia likely reflects chronic inflammation and iron deficiency from intestinal blood loss. While the Dominican Republic trip raises consideration of tropical infections, the biopsy findings are not consistent with tropical sprue (which shows villous atrophy without granulomas) or infectious causes. Diverticulitis typically presents acutely with left lower quadrant pain, not chronic symptoms with granulomas. Celiac disease shows villous atrophy without granulomas. Whipple disease shows PAS-positive macrophages, not granulomas.
 Answer: C
 Confidence: 95%</t>
  </si>
  <si>
    <t>Reasoning: The key finding here is a positive Trendelenburg sign - when the patient stands on his right leg, the left pelvis sags. This indicates weakness of the hip abductors on the stance side (right side). The hip abductors (primarily gluteus medius and minimus) are responsible for stabilizing the pelvis during single-leg stance and are innervated by the superior gluteal nerve. When these muscles are weak or their nerve supply is damaged, the contralateral pelvis drops when standing on the affected side.
 The patient stands on the RIGHT leg and the LEFT pelvis sags, indicating weakness of the RIGHT hip abductors, which would be caused by damage to the RIGHT superior gluteal nerve. The inferior gluteal nerve innervates the gluteus maximus (hip extension), not the hip abductors. L5 radiculopathy could cause some hip abductor weakness but would typically present with additional findings. The common peroneal nerve affects foot dorsiflexion/eversion, not hip abduction. A spinal abscess would likely present with fever, back pain, and more systemic symptoms.
 The recent DTaP vaccine and 3-week duration with otherwise healthy child suggests this could be related to an injection injury to the superior gluteal nerve in the right buttock.
 Answer: E
 Confidence: 95%</t>
  </si>
  <si>
    <t>Reasoning:
 This 3-year-old boy with known sickle cell disease presents with acute worsening anemia and fever. The key laboratory findings are:
 - Severely low hemoglobin (5.4 g/dL) and hematocrit (14.4%)
 - Critically low reticulocyte count (0.1%) - this indicates absent bone marrow compensation
 - Normal MCV (86 fL) and MCHC (37.5%)
 - Negative Coombs tests ruling out immune-mediated hemolysis
 In sickle cell disease patients, the baseline hemolysis typically triggers a compensatory reticulocytosis. The sudden development of severe anemia WITH reticulocytopenia (aplastic crisis) is pathognomonic for parvovirus B19 infection. Parvovirus B19 specifically targets erythroid progenitor cells in the bone marrow, causing temporary arrest of red blood cell production. The flu-like prodrome (fever, fatigue) followed by progressive anemia fits this diagnosis perfectly. The splenomegaly can be seen in sickle cell disease patients who still have functional splenic tissue at age 3.
 IgG-mediated hemolytic anemia is ruled out by negative Coombs tests. Sickle cell disease itself doesn't explain the acute change with reticulocytopenia. Myelofibrosis and Fanconi's anemia don't present this way acutely with preceding viral symptoms.
 Answer: A
 Confidence: 98%</t>
  </si>
  <si>
    <t>Reasoning: This patient presents with a constellation of findings highly suggestive of a systemic vasculitis. Key features include: (1) history of asthma and chronic sinusitis, (2) marked eosinophilia (29%, which is significantly elevated), (3) mononeuritis multiplex (foot drop from right peroneal nerve involvement and ulnar nerve sensory deficit), (4) pulmonary involvement with wheezing, (5) renal involvement (elevated creatinine, hematuria, proteinuria), (6) subcutaneous nodules and palpable purpura, and (7) fever and leukocytosis. The combination of asthma, chronic sinusitis, marked eosinophilia, and systemic vasculitis affecting multiple organs (lungs, kidneys, peripheral nerves) is classic for eosinophilic granulomatosis with polyangiitis (EGPA, formerly Churg-Strauss syndrome). Granulomatosis with polyangiitis would typically present with upper respiratory tract involvement but without prominent eosinophilia or asthma history. Goodpasture syndrome primarily affects lungs and kidneys but lacks peripheral nerve involvement, eosinophilia, and skin findings. Henoch-Schönlein purpura typically occurs in children and lacks prominent pulmonary and neurologic features. Excessive glucocorticoid use would not explain the vasculitis picture.
 Answer: E
 Confidence: 95%</t>
  </si>
  <si>
    <t>Reasoning: This 64-year-old woman with hypertension and type 2 diabetes presents with progressive vision loss over 6 months that is not corrected by glasses. Key clinical findings include:
 1. Sluggish pupillary light reflexes bilaterally
 2. Significantly reduced visual acuity (worse in right eye - counting fingers at 6 feet)
 3. Bilateral optic disc pallor on fundoscopy
 4. Markedly increased cup-to-disc ratios (0.7 left, 0.9 right; normal ~0.3)
 The increased cup-to-disc ratio indicates optic nerve cupping, which is characteristic of glaucomatous optic neuropathy. The bilateral presentation, gradual progressive vision loss, and optic disc pallor with pathologic cupping strongly suggest open-angle glaucoma. This chronic condition causes painless, gradual peripheral-to-central vision loss due to increased intraocular pressure damaging the optic nerve.
 Hypertensive retinopathy would show arteriovenous nicking, flame hemorrhages, and cotton-wool spots. Age-related macular degeneration affects central vision primarily with drusen or neovascularization. Diabetic retinopathy would show microaneurysms, hemorrhages, and exudates. Optic neuritis typically presents acutely with pain on eye movement and doesn't cause this degree of optic cupping.
 Answer: D
 Confidence: 95%</t>
  </si>
  <si>
    <t>Reasoning: This patient presents with a classic triad suggestive of renal pathology: flank pain, hematuria, and a palpable mass (though not explicitly mentioned here). Key findings include:
 1. **Hematuria with flank pain** in a middle-aged male with significant smoking history (40 pack-years) - smoking is a major risk factor for renal cell carcinoma (RCC)
 2. **Polycythemia** - elevated hemoglobin (17) and hematocrit (51%) suggest erythrocytosis. RCC is a well-known cause of paraneoplastic erythrocytosis due to ectopic erythropoietin production
 3. **Age and demographics** - RCC typically presents in the 50s-70s, more common in males
 4. **Absence of infectious symptoms** - no fever, chills, or dysuria, and urinalysis is negative for leukocytes, making pyelonephritis unlikely
 5. **Gradual progression** over months is consistent with malignancy
 Polycystic kidney disease would typically present bilaterally with positive family history. AAA wouldn't cause hematuria. Pyelonephritis is ruled out by lack of infection signs. Renal oncocytoma is benign and rarely causes paraneoplastic syndromes like erythrocytosis.
 The combination of hematuria, flank pain, smoking history, and paraneoplastic erythrocytosis strongly points to RCC.
 Answer: A
 Confidence: 95%</t>
  </si>
  <si>
    <t>Reasoning: This 74-year-old woman presents with progressive erythema, edema, tenderness, and warmth over the anterior tibia with a poorly demarcated border. The key distinguishing features are: (1) poorly demarcated margins, (2) absence of vesicles, pustules, or nodules, (3) involvement of deeper tissue suggested by edema and tenderness, and (4) a linear break in the skin serving as a potential portal of entry. 
 Erysipelas typically presents with well-demarcated, raised borders and primarily affects the superficial dermis and lymphatics. The poorly demarcated nature of this lesion makes erysipelas less likely. Cellulitis, in contrast, involves the deeper dermis and subcutaneous tissue and characteristically presents with poorly demarcated erythema, edema, warmth, and tenderness—all present in this case. 
 Irritant contact dermatitis would not typically present with warmth, tenderness, and progressive worsening over 2 weeks in this pattern. Folliculitis involves hair follicles with pustules or papules. Gas gangrene is severe with crepitus and systemic toxicity. The clinical picture, including the skin break as a portal of entry and the deeper tissue involvement with poorly demarcated borders, is most consistent with cellulitis.
 Answer: B
 Confidence: 92%</t>
  </si>
  <si>
    <t>Reasoning: This 6-month-old boy presents with progressive symmetric flaccid weakness, hypotonia, diminished deep tendon reflexes, weak cry and suck, and a bell-shaped chest. The key clinical features point toward a lower motor neuron disorder. The timeline (appearing normal initially, then declining over weeks) and the specific pattern of weakness with preserved facial movements (can smile and furrow brow) but weak bulbar function (weak cry/suck) are classic for spinal muscular atrophy (SMA). SMA is caused by degeneration of anterior horn cells in the spinal cord due to mutations in the SMN1 gene. The bell-shaped chest results from intercostal muscle weakness with relative preservation of diaphragmatic function. The other options don't fit: axonal demyelination would suggest Guillain-Barré syndrome (acute onset, usually after infection); decreased acetylcholine receptor density suggests myasthenia gravis (fluctuating weakness, not progressive hypotonia in infancy); impaired acetylcholine release suggests botulism (acute, often with pupillary abnormalities); myonecrosis suggests muscular dystrophy (would not typically present this early with this pattern).
 Answer: A
 Confidence: 95%</t>
  </si>
  <si>
    <t>Reasoning: This patient underwent massive transfusion following hemorrhagic shock from wrist lacerations. Initially, he responded well to resuscitation with normalization of vital signs and mental status (GCS improved to 15). However, 30 minutes later, he developed acute deterioration with fever (103°F), hypotension, tachycardia, decreased GCS (11), and flank pain. 
 Key laboratory findings include:
 - Low haptoglobin (11 mg/dL, normally 41-165 mg/dL) - suggests hemolysis
 - Elevated bilirubin (3.2 mg/dL) with normal liver enzymes - suggests hemolysis
 - Elevated creatinine (1.5 mg/dL) - suggests acute kidney injury
 - Anemia despite transfusion
 This clinical presentation of fever, hypotension, flank pain, hemolysis (low haptoglobin, elevated bilirubin), and acute kidney injury developing shortly after blood transfusion is classic for an acute hemolytic transfusion reaction (AHTR). The most common cause of AHTR is ABO incompatibility - a major blood group incompatibility where recipient antibodies react against donor RBC antigens. This results in intravascular hemolysis, which explains the dark urine (hemoglobinuria causing flank pain), hypotension, fever, and renal injury.
 Answer: C
 Confidence: 95%</t>
  </si>
  <si>
    <t>Reasoning: This 24-year-old woman presents with severe cramping abdominal and lower back pain that is recurrent (similar episode 1 month ago). Key clinical features include: (1) young age, (2) cyclic pattern of pain (monthly recurrence suggests relationship to menstrual cycle), (3) normal vital signs, (4) benign abdominal and pelvic examination with no masses, adnexal tenderness, or cervical motion tenderness, and (5) relatively normal menstrual flow (1 pad per day is actually light to normal flow, not heavy). 
 The negative pelvic exam essentially rules out ectopic pregnancy (would expect adnexal tenderness/mass) and appendicitis (would expect focal tenderness, abnormal vitals). Adenomyosis typically presents with heavy menstrual bleeding and occurs in older women (30s-40s). Leiomyomas (fibroids) would likely be palpable on exam and typically cause heavier bleeding. Primary dysmenorrhea is characterized by recurrent, cramping pelvic pain associated with menses in young women without pelvic pathology, which fits this presentation perfectly.
 Answer: E
 Confidence: 92%</t>
  </si>
  <si>
    <t>Reasoning: This patient presents with episodic severe right upper quadrant pain with nausea and vomiting, suggesting biliary colic. Key findings include:
 1. **Dilated common bile duct (10 mm)** - indicates obstruction
 2. **Elevated conjugated bilirubin (4.1 mg/dL)** with mild scleral icterus - suggests obstructive jaundice
 3. **Elevated alkaline phosphatase (348 U/L)** and transaminases (AST 187, ALT 260) - pattern consistent with biliary obstruction with secondary hepatocellular injury
 4. **Multiple gallstones** on ultrasound
 5. **No gallbladder wall thickening or pericholecystic fluid** - makes cholecystitis unlikely
 6. **History of terminal ileum resection** - risk factor for cholesterol gallstone formation due to interruption of enterohepatic circulation
 The combination of episodic pain, dilated CBD, obstructive pattern of liver enzymes, and gallstones strongly suggests choledocholithiasis (stone in the common bile duct). The patient is asymptomatic between episodes because the stone likely causes intermittent obstruction. Acute hepatitis A and autoimmune hepatitis would not cause CBD dilation or episodic symptoms. Cholecystitis would show gallbladder wall changes. Pancreatitis typically has higher amylase/lipase (not provided but suggested absent by clinical picture) and epigastric pain.
 Answer: B
 Confidence: 95%</t>
  </si>
  <si>
    <t>Reasoning: This newborn presents with classic findings of a congenital TORCH infection. Key features include:
 - Small for gestational age (15th percentile for height/weight, 1st percentile for head circumference = microcephaly)
 - Jaundice
 - Hepatosplenomegaly
 - Periventricular calcifications on cranial ultrasound
 - Lethargy
 - History of maternal viral illness (cold/sore throat) 2 months before delivery
 The periventricular calcifications are the most discriminating feature. CMV characteristically causes periventricular calcifications, while toxoplasmosis typically causes diffuse or scattered calcifications throughout the brain parenchyma. The maternal history of a mild viral illness during pregnancy is consistent with CMV, which often presents as a nonspecific cold-like illness. CMV is the most common congenital infection and presents with this constellation of findings (microcephaly, hepatosplenomegaly, jaundice, periventricular calcifications). Zika causes microcephaly but not typically the hepatosplenomegaly or periventricular calcifications. Crigler-Najjar would cause jaundice but not the other findings. Fetal alcohol syndrome has a different presentation with facial dysmorphism.
 Answer: E
 Confidence: 95%</t>
  </si>
  <si>
    <t>Reasoning: This 7-year-old girl presents with acute onset (yesterday morning) of a painful, warm, soft lump on her left eyelid with redness and swelling involving the hair follicles. The key clinical features are: (1) acute painful swelling of the eyelid, (2) warmth and erythema, (3) involvement of hair follicles, and (4) purulent drainage upon palpation. These findings are classic for an acute bacterial infection of the eyelid glands. A hordeolum (stye) is an acute purulent infection of the eyelid glands—external hordeolum involves the glands of Zeis or Moll associated with eyelash follicles, while internal hordeolum involves the meibomian glands. The acute onset, pain, purulent drainage, and follicular involvement point to hordeolum. Chalazion is typically painless and chronic without purulent drainage. Dacryocystitis involves the lacrimal sac medially. Blepharitis is chronic eyelid margin inflammation. Xanthelasma are cholesterol deposits, not infectious.
 Answer: A
 Confidence: 95%</t>
  </si>
  <si>
    <t>Reasoning: The key findings here are ascites with specific characteristics on peritoneal fluid analysis. The fluid shows:
 - Cloudy appearance
 - Lymphocytic predominance
 - Elevated triglycerides (360 mg/dL) - this is the critical finding
 - Negative Gram stain
 - High total protein (3.5 g/dL) suggesting exudative ascites
 - Low serum-ascites albumin gradient (SAAG = 3.5 - 2.6 = 0.9 g/dL, which is &lt;1.1)
 The markedly elevated triglycerides (&gt;200 mg/dL) in peritoneal fluid is pathognomonic for chylous ascites. The low SAAG and high protein indicate this is exudative ascites, not transudative.
 Recent inguinal hernia surgery 3 months ago could have caused lymphatic disruption leading to chylous ascites. This typically presents with milky/cloudy fluid, elevated triglycerides, lymphocytic predominance, and develops weeks to months after abdominal/retroperitoneal surgery.
 While the patient has risk factors for cirrhosis (hepatitis C, alcohol use), his liver enzymes are normal and bilirubin is normal, making acute liver decompensation less likely. Heart failure would cause transudative ascites with high SAAG. Infection would show neutrophilic predominance. Lymphoma is possible but recent surgery is more directly linked. Nephrotic syndrome wouldn't explain the elevated triglycerides in ascitic fluid.
 Answer: A
 Confidence: 85%</t>
  </si>
  <si>
    <t>Reasoning: This case presents a newborn with a classic constellation of findings suggestive of a congenital TORCH infection. Key features include: (1) Small for gestational age (weight and length at 5th percentile), (2) Hydrocephalus (head circumference at 99th percentile with ventricular dilatation), (3) Intracranial calcifications (hyperechoic foci in cortex, basal ganglia, and periventricular region), (4) Chorioretinitis (posterior uveitis), (5) Sensorineural hearing loss (failed auditory screening), (6) Petechiae/purpura, (7) Jaundice, and (8) Seizures with lethargy.
 The pattern of intracranial calcifications is particularly diagnostic. Congenital toxoplasmosis characteristically shows calcifications scattered throughout the cortex, basal ganglia, and periventricular regions, which matches this patient's cranial ultrasound findings. The classic triad of toxoplasmosis includes chorioretinitis, hydrocephalus, and intracranial calcifications.
 Congenital rubella would present with cataracts, cardiac defects (PDA), and "blueberry muffin" rash. CMV typically shows periventricular calcifications but is more linear. Congenital syphilis presents with hepatosplenomegaly, bone abnormalities, and rhinitis. The imaging and ophthalmologic findings here are most consistent with toxoplasmosis.
 Answer: A
 Confidence: 95%</t>
  </si>
  <si>
    <t>Reasoning: This patient presents with a classic constellation of findings after a stab wound to the neck, suggesting a spinal cord hemisection injury (Brown-Séquard syndrome). The key features are:
 1. **Ipsilateral motor weakness** (right side): 2/5 strength in upper extremity with upward Babinski sign indicates upper motor neuron injury on the right
 2. **Ipsilateral loss of proprioception and vibration** (right side): Indicating damage to the dorsal columns on the right
 3. **Contralateral loss of pain and temperature sensation** (left side): The spinothalamic tract decussates within 1-2 levels of entry, so damage on the right causes left-sided deficits
 4. **Ipsilateral Horner syndrome** (right side): Small pupil, ptosis indicating damage to sympathetic fibers descending in the lateral cord
 This pattern is pathognomonic for hemisection of the spinal cord. The penetrating trauma to the neck directly caused damage to one-half of the cervical spinal cord. The other syndromes don't fit: anterior cord spares dorsal columns, central cord shows "cape-like" sensory loss with greater upper than lower extremity weakness, posterior cord affects only proprioception/vibration bilaterally, and syringomyelia causes bilateral dissociated sensory loss.
 Answer: C
 Confidence: 98%</t>
  </si>
  <si>
    <t>Reasoning: This 65-year-old man presents with hemoptysis following a recent upper respiratory infection. Key clinical features include: (1) long-standing productive cough worsened after stroke 3 years ago, (2) 40 pack-year smoking history, (3) digital clubbing and cyanosis, (4) coarse crackles on examination, and (5) chest x-ray showing tram-track opacities and increased translucency in the right lower lung field.
 The tram-track opacities are pathognomonic for bronchiectasis, representing thickened, dilated bronchial walls seen in cross-section. Bronchiectasis is characterized by permanent dilation of bronchi due to chronic inflammation and infection. The patient's stroke history is significant because it likely led to aspiration events, which can cause or worsen bronchiectasis. His chronic productive cough, digital clubbing (a sign of chronic suppurative lung disease), and recent hemoptysis following infection are all classic features of bronchiectasis. While his smoking history raises concern for emphysema or lung cancer, the tram-track sign is specific for bronchiectasis. Aspiration pneumonia would present more acutely without the chronic features and characteristic radiographic findings.
 Answer: A
 Confidence: 95%</t>
  </si>
  <si>
    <t>Reasoning: This case presents a 13-year-old female with progressive dry, scaling skin that began at age 5. Key features include:
 1. **Age of onset**: Started at age 5 (not present from birth), suggesting an acquired rather than congenital condition
 2. **Progressive nature**: Worsening over time
 3. **Dry, scaling skin**: The predominant feature
 4. **Poor response to OTC moisturizers**: Suggests more than simple dry skin
 5. **Duration**: Long-standing chronic condition (8 years)
 **Ichthyosis vulgaris** is the most common inherited disorder of keratinization, typically presenting in early childhood (often between ages 3-12 months to 5 years). It causes widespread dry, scaly skin that resembles fish scales, particularly on extensor surfaces. It's chronic, progressive, and often resistant to simple moisturizers.
 **Atopic dermatitis** typically presents earlier (infancy), involves flexural areas, and is usually pruritic with eczematous changes rather than pure scaling.
 **Psoriasis** in children typically shows well-demarcated erythematous plaques with silvery scale, often with a more acute or episodic pattern.
 **Miliaria** is an acute condition related to sweat duct obstruction, not chronic scaling.
 **Seborrheic dermatitis** affects sebum-rich areas (scalp, face) with greasy scales, not generalized dry scaling.
 Answer: A
 Confidence: 88%</t>
  </si>
  <si>
    <t>Reasoning:
 This patient presents with bleeding manifestations (gum bleeding, surgical site oozing, epistaxis) on post-operative day 5 after tricuspid valve surgery for endocarditis. Key laboratory findings include:
 - Prolonged PT (27 seconds) and aPTT (84 seconds)
 - Normal platelet count (150,000/mm³)
 - Normal D-dimer (excluding DIC)
 - Elevated MCV (110 fL) suggesting macrocytic anemia, consistent with poor nutrition/alcohol abuse
 The patient has been on vancomycin and gentamicin for 5+ days. While vancomycin can rarely cause coagulopathy, the clinical picture points more strongly toward vitamin K deficiency. This patient has multiple risk factors:
 1. Malnutrition (BMI 16 kg/m²)
 2. Chronic alcohol abuse
 3. Recent surgery with prolonged antibiotic therapy (both vancomycin and gentamicin can disrupt gut flora that produce vitamin K)
 4. Poor nutritional status as evidenced by her social situation
 Vitamin K deficiency causes prolongation of PT and aPTT (affecting factors II, VII, IX, X) without thrombocytopenia. The normal D-dimer rules out DIC (option B). There's no evidence of ongoing sepsis for option C. Options D and E (von Willebrand disease and hemophilia A) would be congenital and wouldn't suddenly appear post-operatively; they also wouldn't explain the prolonged PT.
 The antibiotic therapy (option A), particularly in the context of malnutrition and disrupted gut flora, is the most likely cause of acquired vitamin K deficiency.
 Answer: A
 Confidence: 85%</t>
  </si>
  <si>
    <t>Reasoning: This 27-year-old man presents with a 4-day history of abdominal pain, diarrhea, weakness, subjective fever, and significant weight loss (11 pounds). Key findings include oral ulcers (aphthous ulcers), generalized abdominal tenderness, increased bowel sounds, and a positive stool guaiac test indicating GI bleeding. The combination of oral ulcers, abdominal pain, diarrhea, and GI bleeding in a young adult strongly suggests inflammatory bowel disease (IBD). 
 Between the two main forms of IBD, Crohn's disease classically presents with oral ulcers (which can occur in up to 10% of cases), transmural inflammation affecting any part of the GI tract, and often presents in younger patients. Ulcerative colitis typically does not cause oral ulcers. The question asks what "best describes" the diagnosis, referring to associated laboratory markers.
 ASCA (anti-Saccharomyces cerevisiae antibodies) are positive in approximately 60-70% of Crohn's disease patients, while ANCA (anti-neutrophil cytoplasmic antibodies), specifically p-ANCA, is more associated with ulcerative colitis. The presence of oral ulcers makes Crohn's disease the most likely diagnosis, which would be associated with ASCA positivity.
 Answer: B
 Confidence: 85%</t>
  </si>
  <si>
    <t>Reasoning: This 25-year-old woman presents with symptoms beginning 6 weeks postpartum, including persistent sadness, sleep disturbance (despite her infant sleeping through the night), difficulty concentrating, anhedonia (loss of interest in cooking), fatigue, and decreased appetite. These symptoms have significantly impaired her functioning (hasn't returned to work). The key temporal relationship is that symptoms started within the first few weeks to months after childbirth. While both major depressive disorder and depression with peripartum onset could apply here, the DSM-5 specifies "peripartum onset" for major depressive episodes occurring during pregnancy or within 4 weeks postpartum. However, many clinicians and resources recognize postpartum depression can manifest up to several months after delivery. Given the clinical context of recent childbirth and the constellation of depressive symptoms meeting criteria for major depression occurring in the postpartum period, this is most consistent with depression with peripartum onset (postpartum depression). This is not adjustment disorder (stressor would need to be more clearly defined and symptoms are more severe), not disruptive mood dysregulation disorder (pediatric diagnosis), and clearly not normal behavior given the functional impairment.
 Answer: C
 Confidence: 85%</t>
  </si>
  <si>
    <t>Reasoning: This 67-year-old man presents with several key clinical features that point toward a specific diagnosis. The pattern of arthritis is asymmetric and migratory (left knee previously, now right knee and both affected), which is characteristic of certain seronegative spondyloarthropathies. The back pain that improves with rest suggests inflammatory back involvement. The crucial diagnostic clues are the dermatological findings: he has dandruff (likely scalp psoriasis) requiring special shampoos and nail pitting on examination. Nail pitting is a hallmark of psoriasis. The combination of inflammatory arthritis (asymmetric oligoarthritis), axial involvement (back pain), and psoriatic skin/nail changes is pathognomonic for psoriatic arthritis. Rheumatoid arthritis typically presents with symmetric small joint involvement without these skin findings. Arthritis mutilans is a severe destructive form of psoriatic arthritis but not the primary diagnosis. Familial Mediterranean fever presents with episodic fevers and serositis. Mixed connective tissue disease has overlapping autoimmune features but wouldn't explain the psoriatic manifestations.
 Answer: A. Psoriatic arthritis
 Confidence: 95%</t>
  </si>
  <si>
    <t>Reasoning: This patient presents with acute onset of left lower extremity weakness (2/5 strength), decreased sensation, extensor plantar response (Babinski sign), and urinary incontinence, indicating an upper motor neuron lesion affecting the right hemisphere. The key localizing features include:
 1. **Contralateral lower extremity monoparesis**: The left leg weakness with UMN signs suggests involvement of the right medial frontal lobe, specifically the paracentral lobule where the leg motor cortex is located.
 2. **Cognitive/frontal signs**: Flat affect, impaired cognitive sequencing (stopping at 17 when counting backward), and reduced verbal fluency (only naming 2 words with "d") suggest frontal lobe dysfunction, particularly involving the supplementary motor area and prefrontal cortex.
 3. **Urinary incontinence**: This is characteristic of medial frontal lobe lesions affecting the paracentral lobule and supplementary motor area.
 4. **Sparing of upper extremities and face**: The anterior cerebral artery (ACA) supplies the medial aspects of the frontal and parietal lobes, including the motor and sensory cortex for the lower extremity.
 The right ACA territory stroke explains all findings: left leg weakness, sensory loss, frontal lobe dysfunction, and incontinence. The left ACA would cause right-sided symptoms.
 Answer: B
 Confidence: 95%</t>
  </si>
  <si>
    <t>Reasoning: This 30-year-old woman presents with nervousness and sleep difficulties related to worrying about her relationship, specifically centered on her boyfriend's behavior not meeting her rigid standards of order and planning. Key features include: (1) preoccupation with orderliness, perfectionism, and control (dishes must go directly in dishwasher, groceries must be added to list immediately, meals must be planned in advance); (2) inflexibility regarding her way of doing things; (3) inability to tolerate deviations from her system despite loving her boyfriend; (4) restricted affect with little intensity or range. 
 The 13-year period of being single before this relationship suggests long-standing patterns of behavior that may have made relationships difficult. She is distressed by her boyfriend's "flaws" (which are actually normal behaviors), indicating her rigid standards interfere with her functioning and relationships. There are no obsessions (intrusive, unwanted thoughts) or compulsions (repetitive behaviors to reduce anxiety) characteristic of OCD. Her symptoms don't meet criteria for GAD (excessive worry across multiple domains) or MDD (no anhedonia, depressed mood, or neurovegetative symptoms). This pattern fits obsessive-compulsive personality disorder (OCPD): pervasive preoccupation with orderliness, perfectionism, and control at the expense of flexibility and interpersonal relationships.
 Answer: D
 Confidence: 92%</t>
  </si>
  <si>
    <t>Reasoning: This patient presents with acute onset of abdominal pain and watery diarrhea 2-3 hours after consuming food from an unrefrigerated buffet. The key diagnostic features are:
 1. **Rapid onset (2-3 hours)**: This very short incubation period is characteristic of preformed toxin-mediated food poisoning rather than actual bacterial infection/invasion.
 2. **Watery diarrhea without blood**: Suggests toxin-mediated rather than invasive bacterial enteritis. The negative FOBT rules out inflammatory/invasive causes.
 3. **Mild systemic symptoms**: Low-grade fever and mild tachycardia are consistent with toxin-mediated illness.
 4. **Food exposure**: Unrefrigerated buffet is a classic setting for S. aureus contamination, particularly in foods handled manually (meats, potato salads, cream-based items common at barbecues).
 Staphylococcus aureus produces preformed enterotoxin that causes symptoms within 1-6 hours. In contrast: Salmonella (6-48 hours), Campylobacter (2-5 days), Listeria (days to weeks), and Vibrio cholerae (typically longer incubation and associated with seafood, causing profuse "rice-water" stools). The rapid onset with self-limited watery diarrhea points definitively to preformed toxin.
 Answer: C
 Confidence: 95%</t>
  </si>
  <si>
    <t>Reasoning: This 42-year-old obese female presents with left knee pain localized to the anteromedial proximal tibia, 6 cm inferior to the joint line. The key clinical findings include: (1) tenderness at a specific location on the anteromedial proximal tibia below the joint line, (2) pain worse with stairs and rising from a chair (activities that stress the pes anserine region), (3) no joint effusion, (4) negative valgus stress test (ruling out MCL injury), and (5) radiographs showing only mild arthritis without fractures.
 The pes anserine bursa is located at the anteromedial proximal tibia, approximately 5-7 cm below the joint line, where the conjoined tendons of sartorius, gracilis, and semitendinosus insert. Pes anserine bursitis is common in obese middle-aged women and presents with localized tenderness at this exact location, worsened by activities that stress these tendons.
 The negative valgus stress test rules out MCL sprain. The location is too distal for a meniscus tear, which would typically cause joint line tenderness. Patellar tendonitis would cause anterior knee pain at the patellar tendon, not the anteromedial tibia. A stress fracture would be more likely with acute onset or specific trauma, and the clinical presentation is classic for pes anserine bursitis.
 Answer: D
 Confidence: 95%</t>
  </si>
  <si>
    <t>Reasoning: This 21-year-old woman presents with several key clinical features: chronic pelvic pain (especially with intercourse), new yellowish vaginal discharge, fever (39.1°C), and significant cervical motion tenderness with adnexal tenderness on bimanual exam. Her sexual history reveals multiple partners, which increases her risk for sexually transmitted infections. The negative whiff test and pH &gt;4.5 make bacterial vaginosis less likely (BV typically has a positive whiff test). The combination of fever, cervical motion tenderness (chandelier sign), adnexal tenderness, and purulent discharge are classic findings for pelvic inflammatory disease (PID), typically caused by ascending infection from organisms like Chlamydia trachomatis or Neisseria gonorrhoeae. Ectopic pregnancy would not typically present with fever or purulent discharge. Appendicitis would show right lower quadrant tenderness without cervical motion tenderness. UTI would not explain the adnexal/uterine tenderness or vaginal discharge.
 Answer: E
 Confidence: 95%</t>
  </si>
  <si>
    <t>Reasoning: This 10-year-old boy presents with a 5-year history of recurrent sinus and upper respiratory infections along with chronic diarrhea. The key laboratory finding is abnormally low levels of one immunoglobulin isotype with normal levels of others. This pattern of selective deficiency of a single immunoglobulin class, combined with the clinical presentation of recurrent sinopulmonary infections and gastrointestinal symptoms (diarrhea), is classic for selective IgA deficiency. This is the most common primary immunodeficiency, affecting mucosal immunity. Chediak-Higashi syndrome presents with recurrent pyogenic infections, partial albinism, and neurologic abnormalities. Common variable immunodeficiency typically shows low levels of multiple immunoglobulin classes. Drug-induced IgA deficiency is unlikely without medication history mentioned. Transient hypogammaglobulinemia of infancy resolves by age 2-4 years, making it inappropriate for a 10-year-old with 5 years of symptoms.
 Answer: D
 Confidence: 95%</t>
  </si>
  <si>
    <t>Reasoning: This patient presents with classic signs of urethral injury following pelvic trauma. Key findings include:
 1. **Mechanism**: Pelvic fracture (all four pubic rami fractured) from blunt trauma
 2. **Inability to void** despite urge to urinate and distended bladder on ultrasound
 3. **Blood at urethral meatus** - pathognomonic for urethral injury
 4. **High-riding prostate** on digital rectal examination - indicates disruption of the prostatomembranous urethra, allowing the prostate to migrate superiorly
 5. **Perineal/scrotal ecchymoses** - suggests extravasation of blood/urine into these tissues
 The urethra is anatomically divided into anterior (bulbar and penile) and posterior (prostatic and membranous) portions. Pelvic fractures, particularly involving the pubic rami, typically cause **posterior urethral injuries** at the prostatomembranous junction where the urethra is tethered. The combination of pelvic fracture, high-riding prostate, blood at meatus, and inability to void despite bladder distention is diagnostic of posterior urethral disruption.
 Anterior urethral injuries typically result from straddle injuries. Bladder rupture would show free fluid on ultrasound. Ureteral injury wouldn't cause these findings.
 Answer: D
 Confidence: 98%</t>
  </si>
  <si>
    <t>Reasoning: This is a 3-month-old infant presenting with a chronic rash on the scalp and forehead characterized by erythematous patches with greasy yellow scales. The key diagnostic features are: (1) age of presentation (3 months old), (2) location (scalp, forehead, hairline), (3) appearance (erythematous patches with greasy yellow scales), and (4) chronicity (several weeks). 
 Seborrheic dermatitis (also called "cradle cap" in infants) classically presents in the first few months of life with greasy, yellowish scales on the scalp and face, particularly affecting sebum-rich areas. This matches the clinical presentation perfectly. Atopic dermatitis typically presents later (after 3-6 months) and would show more pruritic, eczematous patches on extensor surfaces and cheeks rather than greasy scales. Seborrheic keratosis is a benign growth seen in older adults, not infants. Allergic contact dermatitis would require a clear exposure history and wouldn't present with the characteristic greasy yellow scales. Erythroderma represents widespread erythema affecting most of the body surface and would present more acutely with systemic symptoms.
 The father's psoriasis is a red herring - while infantile seborrheic dermatitis can sometimes be difficult to distinguish from psoriasis, the greasy yellow scales and typical distribution make seborrheic dermatitis the most likely diagnosis.
 Answer: E
 Confidence: 95%</t>
  </si>
  <si>
    <t>Reasoning: This 4-year-old presents with high fever, sore throat, nausea, vomiting, and bloody diarrhea. The key epidemiological clues are: (1) several other children at his preschool have similar symptoms, suggesting a communicable disease outbreak, and (2) the timing coincides with exposure at school rather than other factors. The constellation of symptoms (high fever, sore throat, gastrointestinal symptoms including bloody diarrhea) is consistent with bacterial gastroenteritis, possibly Shigella or Campylobacter, which are commonly transmitted in daycare/preschool settings through person-to-person contact. The new dog (3 weeks prior) is less temporally related to the acute 2-day illness. Recent antibiotics are not mentioned. Reheated fried rice (Bacillus cereus) typically causes symptoms within hours and wouldn't explain the school outbreak. While lack of immunization could be relevant for some infections, the described presentation and outbreak pattern most strongly suggest bacterial transmission at school.
 Answer: D
 Confidence: 85%</t>
  </si>
  <si>
    <t>Reasoning: 
 This 1-day-old full-term infant presents with central cyanosis (oral mucosa), oxygen saturation of 80%, and is otherwise comfortable at rest with a normal respiratory rate of 40/min. Key physical findings include: a single S2, right ventricular lift (suggesting RV hypertrophy), and a harsh systolic ejection murmur at the left upper sternal border. The presence of a hypoplastic, displaced left thumb is significant as it suggests VACTERL association or other congenital syndromes that can be associated with cardiac anomalies.
 The single S2 indicates either a single semilunar valve or inability to hear the splitting, which occurs in conditions with severe outflow tract obstruction or abnormal great vessel relationships. The combination of cyanosis from birth, single S2, RV hypertrophy, and systolic ejection murmur strongly suggests a cyanotic congenital heart disease with right-to-left shunting.
 Tetralogy of Fallot classically presents with: VSD, overriding aorta, pulmonary stenosis, and RV hypertrophy. This explains the cyanosis (right-to-left shunt through VSD), single S2 (diminished pulmonary component due to pulmonary stenosis), systolic ejection murmur (from pulmonary stenosis), and RV lift. The associated limb anomaly further supports a congenital syndrome. While the chest X-ray description isn't provided in detail, TOF classically shows a "boot-shaped" heart.
 Transposition would typically present more severely with profound cyanosis unless there's adequate mixing. VSD alone wouldn't cause cyanosis (left-to-right shunt). TTN and pneumothorax don't explain the cardiac findings or limb anomaly.
 Answer: B
 Confidence: 92%</t>
  </si>
  <si>
    <t>Reasoning: This 41-year-old woman presents with positional dyspnea (worse when lying on her left side), syncope, and a positional diastolic murmur. The echocardiogram reveals a mass in the left atrium attached to the atrial septum. These findings are classic for atrial myxoma, the most common primary cardiac tumor in adults. Atrial myxomas typically arise from the interatrial septum and can cause obstruction of the mitral valve, leading to symptoms that mimic mitral stenosis (diastolic murmur, pulmonary congestion). The positional nature of symptoms occurs because the pedunculated tumor moves with body position, causing intermittent obstruction. Syncope can result from sudden obstruction of blood flow through the mitral valve. The pulmonary congestion and jugular venous distention support left-sided heart failure from functional mitral stenosis. Rheumatic fever would have a history of streptococcal infection and wouldn't present as a mass. Endocarditis (bacterial or non-bacterial) presents with vegetations rather than an organized mass attached to the septum, and there are no signs of infection or underlying malignancy mentioned.
 Answer: E
 Confidence: 98%</t>
  </si>
  <si>
    <t>Reasoning: This patient presents with facial erythema (especially pronounced around the cheeks, nose, and ears), excessive daytime sleepiness (falling asleep in meetings), difficulty concentrating, generalized fatigue, obesity (BMI 30.4), short thick neck, and hypertension. The constellation of symptoms—particularly the excessive daytime sleepiness, obesity, short thick neck, and facial plethora/erythema—strongly suggests obstructive sleep apnea (OSA). OSA causes chronic nocturnal hypoxemia, which stimulates the kidneys to increase erythropoietin (EPO) production. This leads to secondary polycythemia, resulting in facial plethora and erythema due to increased red blood cell mass and blood volume. The facial reddening is a manifestation of this polycythemia rather than other causes like carcinoid syndrome (increased serotonin), contact dermatitis (delayed hypersensitivity), autoimmune vasculitis (antibody-mediated), or Cushing's syndrome (increased cortisol, which would present with moon facies and other stigmata not described here).
 Answer: A
 Confidence: 92%</t>
  </si>
  <si>
    <t>Reasoning: This patient presents with several key clinical features: morning headaches, difficulty concentrating, reported snoring, hypertension, and obesity (BMI 37.9). The combination of obesity, snoring, morning headaches, and daytime cognitive difficulties strongly suggests obstructive sleep apnea (OSA). OSA causes repeated episodes of nocturnal upper airway obstruction leading to hypoxemia and increased sympathetic activity. This chronic sympathetic activation results in sustained hypertension. The morning headaches are characteristic of OSA due to nocturnal hypercapnia and hypoxemia. His wife's complaints about snoring further support this diagnosis. While the patient attributes snoring to sinusitis, the clinical picture is more consistent with OSA. This condition is a well-established secondary cause of hypertension, particularly in obese patients. The other options don't fit as well: hypothyroidism (A) would present with other systemic symptoms, pituitary tumors (C) would have hormonal or visual field abnormalities, primary aldosteronism (D) typically presents with hypokalemia, and low serotonin (E) relates to depression/mood disorders rather than this presentation.
 Answer: B
 Confidence: 95%</t>
  </si>
  <si>
    <t>Reasoning: This 61-year-old man with a 40-pack-year smoking history presents with progressive dyspnea, severely limited exercise tolerance, and signs of right heart failure (distended jugular veins, lower extremity edema). The bilateral wheezing, plethoric face, and yellow finger discoloration (nicotine staining) strongly suggest chronic obstructive pulmonary disease (COPD). In COPD, chronic hypoxemia and destruction of pulmonary vasculature lead to pulmonary vasoconstriction and increased pulmonary vascular resistance. This results in elevated pulmonary artery pressure (pulmonary hypertension), which causes right ventricular strain and eventually cor pulmonale (right heart failure). The clinical picture of right heart failure with peripheral edema and JVD in the setting of severe COPD is classic for cor pulmonale secondary to pulmonary hypertension. While chronic respiratory acidosis (option C) may be present in severe COPD, it is a consequence rather than the primary cause of his symptoms. The elevated pulmonary artery pressure is the direct mechanism causing his right heart failure symptoms.
 Answer: A
 Confidence: 92%</t>
  </si>
  <si>
    <t>Reasoning: This is a 23-year-old woman at 10 weeks gestation presenting with vaginal bleeding, passage of clots, open cervical os, and products of conception visible in the os - all consistent with an inevitable or incomplete abortion. The key to this question is identifying the most common cause of first-trimester pregnancy loss. 
 In early pregnancy (particularly in the first trimester and especially before 12 weeks), chromosomal abnormalities are by far the most common cause of spontaneous abortion, accounting for approximately 50-70% of cases. These are typically sporadic events involving aneuploidy (such as trisomy, monosomy X).
 The other options are less likely: STDs can cause pregnancy complications but are not the leading cause of first-trimester loss; Rh immunization typically affects subsequent pregnancies and causes issues later in gestation; antiphospholipid syndrome causes recurrent losses and thrombotic events but is much less common than chromosomal abnormalities; and there is no history of trauma mentioned. Given this is her first pregnancy (G1) and the early gestational age, chromosomal abnormalities represent the most statistically likely etiology.
 Answer: D
 Confidence: 95%</t>
  </si>
  <si>
    <t>Reasoning: This 4-year-old presents with a triad of fever, diarrhea, and bilateral red eyes (conjunctivitis) lasting 7 days. The key diagnostic feature is the combination of gastrointestinal symptoms with bilateral conjunctival injection and watery discharge, plus preauricular lymphadenopathy. Adenovirus is well-known for causing pharyngoconjunctival fever, which presents with conjunctivitis, fever, and pharyngitis, but can also cause gastroenteritis. The presence of preauricular adenopathy is particularly characteristic of viral conjunctivitis, especially adenoviral. The daycare outbreak setting is consistent with adenovirus transmission. While rotavirus and norovirus commonly cause gastroenteritis in children, they do not typically cause conjunctivitis. C. difficile would be unusual without antibiotic exposure, and Vibrio parahaemolyticus requires contaminated seafood exposure and doesn't cause conjunctivitis.
 Answer: C
 Confidence: 95%</t>
  </si>
  <si>
    <t>Reasoning: This 34-year-old woman presents with pain in the right thumb and wrist radiating to the elbow, worsened by holding her infant. The key clinical findings are: (1) tenderness over the radial styloid with swelling, (2) pain elicited by grasping the thumb and applying longitudinal traction toward the ulnar side (positive Finkelstein test), and (3) normal range of motion of finger joints with no other joint involvement. The history of repetitive motions from holding her infant is a classic risk factor. The positive Finkelstein test is pathognomonic for De Quervain tenosynovitis, which involves inflammation of the abductor pollicis longus and extensor pollicis brevis tendons in the first dorsal compartment of the wrist. Swan neck and mallet finger are specific finger deformities not present here. Carpal tunnel syndrome would present with median nerve symptoms (numbness/tingling in thumb, index, and middle fingers). Stenosing tenosynovitis (trigger finger) involves locking or catching of fingers, which is not described.
 Answer: A
 Confidence: 98%</t>
  </si>
  <si>
    <t>Reasoning: This patient presents with classic symptoms following traumatic combat exposure: intrusive re-experiencing (flashbacks and nightmares), hyperarousal (intense fear of loud noises), and avoidance behavior (refusing to leave his house, unable to handle shooting ranges). The key temporal element is that symptoms began 7 weeks ago, which is approximately 5 weeks after returning home 3 months ago. Acute stress disorder occurs within 3 days to 1 month after trauma exposure. Since his symptoms began more than 1 month after the traumatic events and have persisted, this exceeds the timeframe for acute stress disorder. The symptoms are directly related to his combat experiences and have caused significant functional impairment (leave from duties, social withdrawal). This presentation is characteristic of posttraumatic stress disorder (PTSD), which requires symptoms lasting more than 1 month after trauma exposure.
 Answer: D
 Confidence: 95%</t>
  </si>
  <si>
    <t>Reasoning: This 3-year-old boy presents with significant developmental delay, self-injurious behavior (head banging, lip and tongue lacerations, finger wounds), increased muscle tone (spasticity), and key laboratory findings. The most striking laboratory abnormalities are elevated creatinine (1.6 mg/dL) and markedly elevated uric acid (12.3 mg/dL), along with macrocytic anemia (MCV 103 μm³).
 The combination of self-mutilating behavior (particularly biting lips, tongue, and fingers), developmental delay, spasticity, and hyperuricemia is pathognomonic for Lesch-Nyhan syndrome. This X-linked recessive disorder is caused by deficiency of hypoxanthine-guanine phosphoribosyltransferase (HGPRT), which leads to impaired purine salvage pathway and overproduction of uric acid. The elevated uric acid causes gouty arthritis and renal complications (explaining the elevated creatinine). The compulsive self-injurious behavior is a distinctive neurological feature of this condition.
 Other options can be excluded: FMR1 mutation causes Fragile X syndrome (intellectual disability without self-mutilation or hyperuricemia); MECP2 mutation causes Rett syndrome (affects girls, hand-wringing stereotypies); branched-chain alpha-ketoacid dehydrogenase deficiency causes maple syrup urine disease (presents in infancy with different metabolic profile); paternal chromosome 15 microdeletion causes Prader-Willi syndrome (hyperphagia, obesity, hypotonia).
 Answer: D
 Confidence: 98%</t>
  </si>
  <si>
    <t>Reasoning: This 93-year-old woman presents with purple plaques on her right arm that have been growing for one month. The key clinical features are: (1) chronic lymphedema of the right upper extremity for 57 years following radical mastectomy, (2) purple-colored coalescing plaques with ulceration in the area of chronic lymphedema, and (3) the progressive nature of the lesions. 
 The combination of chronic lymphedema following mastectomy and the development of purple vascular plaques is highly characteristic of Stewart-Treves syndrome, which is lymphangiosarcoma arising in the setting of chronic lymphedema. This rare but recognized complication typically occurs years to decades after mastectomy with axillary lymph node dissection. The purple color suggests vascular origin, and the progressive growth with ulceration indicates malignancy.
 Cellulitis would present with acute pain, warmth, and erythema. Thrombophlebitis would present with a cord-like tender vein. Lichen planus typically presents with pruritic, polygonal, purple papules but not in a pattern specific to lymphedematous limbs. Kaposi sarcoma is associated with immunosuppression (HIV, transplant) and would not be specifically related to chronic lymphedema.
 Answer: A
 Confidence: 95%</t>
  </si>
  <si>
    <t>Reasoning: This patient presents with prominent behavioral and personality changes characterized by disinhibition (inappropriate comments, attempting to kiss strangers), apathy (no interest in family), altered eating behavior with food preferences (craving specific foods like chocolate pudding and chips), and weight gain. The onset is subacute over 6 months in a 55-year-old man. Key findings include:
 1. Behavioral variant presentation: Disinhibition, apathy, loss of social awareness
 2. Preserved cognition: MMSE 28/30 is near-normal, indicating relatively intact memory and orientation
 3. Changes in eating behavior and food preferences
 4. Relatively young age of onset (mid-50s)
 5. Normal physical exam and lab work
 Frontotemporal dementia (FTD), particularly the behavioral variant, classically presents with personality changes, disinhibition, apathy, loss of empathy, hyperorality/dietary changes, and compulsive behaviors while initially preserving memory and visuospatial skills. This explains the near-normal MMSE despite severe behavioral dysfunction.
 The other options don't fit: Parkinson's presents with motor symptoms; ALS with motor neuron disease; NPH with the classic triad of gait disturbance, urinary incontinence, and dementia; Wilson disease typically affects younger patients with hepatic/neurologic symptoms and Kayser-Fleischer rings.
 Answer: E
 Confidence: 95%</t>
  </si>
  <si>
    <t>Reasoning: This 32-year-old man presents with a firm testicular mass and has key risk factors and findings pointing toward a specific testicular tumor:
 1. **Risk factors**: History of cryptorchidism (undescended testis) significantly increases risk for testicular germ cell tumors, even after orchiopexy.
 2. **Clinical presentation**: Firm, nontender testicular mass with gynecomastia suggests hormone-producing tumor (HCG can cause gynecomastia through aromatization to estrogen).
 3. **Tumor markers**:
  - Both HCG and AFP are elevated
  - LDH is normal
 4. **Key marker analysis**:
  - Seminoma: Typically HCG may be mildly elevated in 10-20% of cases, but AFP is NEVER elevated in pure seminoma
  - Embryonal carcinoma: Can elevate both HCG and AFP
  - Leydig cell tumor: Sex cord-stromal tumor, would not typically elevate HCG or AFP significantly
  - Lymphoma: Would not elevate these germ cell markers
  - Metastasis: Less likely in young patient without primary cancer history
 5. **Conclusion**: The elevation of BOTH HCG and AFP excludes pure seminoma and points toward a non-seminomatous germ cell tumor (NSGCT). Embryonal carcinoma is a common NSGCT that can produce both markers and frequently occurs in young men with cryptorchidism history.
 Answer: A
 Confidence: 90%</t>
  </si>
  <si>
    <r>
      <rPr>
        <rFont val="Arial"/>
        <color theme="1"/>
      </rPr>
      <t xml:space="preserve">Chain-of-Thought </t>
    </r>
    <r>
      <rPr>
        <rFont val="Arial"/>
        <color theme="1"/>
      </rPr>
      <t xml:space="preserve">
</t>
    </r>
  </si>
  <si>
    <t>Answer: A
Reasoning: The patient exhibits marked fear and anxiety about a specific social situation (using the school bathroom) due to a fear of negative evaluation and scrutiny by peers ("other girls will make fun of her," "spread rumors"). This fear is persistent, out of proportion to the actual threat, and significantly impacts her daily life, leading to recurrent urinary tract infections. These are the core diagnostic criteria for Social Anxiety Disorder.
Confidence: 100%</t>
  </si>
  <si>
    <t>Social anxiety disorder</t>
  </si>
  <si>
    <t>Answer: D
Reasoning: The patient presents with tall stature, arachnodactyly (long slender fingers, positive wrist sign), high-arched palate, bilateral inferior lens dislocation, and global developmental delay. This constellation of findings, particularly the inferior lens dislocation and intellectual disability, is highly characteristic of Homocystinuria, which is caused by cystathionine synthase deficiency.</t>
  </si>
  <si>
    <t>Cystathionine synthase deficiency</t>
  </si>
  <si>
    <t>Answer: D
Reasoning: The lesion's description as a "pink pearly papule" with "rolled borders" and "overlying telangiectasias" on the eyelid of an elderly patient with significant sun exposure and fair skin is the classic presentation of basal cell carcinoma. These features are highly specific for BCC compared to the other options.
Confidence: 100%</t>
  </si>
  <si>
    <t>Basal cell carcinoma</t>
  </si>
  <si>
    <t>Answer: C
Reasoning: The patient presents with abrupt onset of expressive aphasia (difficulty speaking, repeating words, but can follow simple instructions) and right-sided weakness (facial droop, hemiparesis, pronator drift). In a right-handed individual, expressive aphasia localizes to the dominant (left) cerebral hemisphere, specifically Broca's area. Right-sided motor deficits also localize to the contralateral (left) cerebral hemisphere. Both Broca's area and the motor cortex for the face and upper limb are supplied by the left middle cerebral artery.
Confidence: 100%</t>
  </si>
  <si>
    <t>Occlusion of the left middle cerebral artery</t>
  </si>
  <si>
    <t>Answer: C
Reasoning: The patient's history of a childhood heart condition treated with antibiotics strongly suggests rheumatic fever, which commonly leads to mitral valve disease. The symptoms of worsening shortness of breath, nocturnal cough, hemoptysis (bloody cough), and pulmonary crackles are classic manifestations of pulmonary venous hypertension and edema, which are highly characteristic of mitral valve stenosis. Hemoptysis, in particular, is a strong indicator of severe mitral stenosis due due to rupture of congested pulmonary capillaries.
Confidence: 95%</t>
  </si>
  <si>
    <t>Mitral valve stenosis</t>
  </si>
  <si>
    <t>Answer: E
Reasoning: The patient presents with chest pain, fever, a pericardial friction rub, and diffuse ST elevations two months after a myocardial infarction. This constellation of symptoms, especially the timing and the presence of a friction rub and diffuse ST elevations, is highly characteristic of Dressler syndrome (post-myocardial infarction syndrome), which is an autoimmune pericarditis occurring weeks to months after an MI.</t>
  </si>
  <si>
    <t>Dressler syndrome</t>
  </si>
  <si>
    <t>Answer: C
Reasoning: The patient presents with chronic arthritis affecting 4 joints (both knees, right ankle, right wrist) in a young girl, which fits the definition of oligoarticular juvenile idiopathic arthritis. Key features supporting this diagnosis include morning stiffness, elevated ESR, positive ANA, negative RF, and chronic anterior uveitis, which is a common complication of ANA-positive oligoarticular JIA.
Confidence: 100%</t>
  </si>
  <si>
    <t>Oligoarticular juvenile idiopathic arthritis</t>
  </si>
  <si>
    <t>Answer: C
Reasoning: The patient's presentation with initial loss of consciousness, followed by a period of lucidity, and then rapid neurological deterioration (severe headache, nausea, vomiting, confusion, and loss of consciousness) is the classic clinical picture of an epidural hematoma, often caused by a tear in the middle meningeal artery.
Confidence: 100%</t>
  </si>
  <si>
    <t>Epidural hematoma</t>
  </si>
  <si>
    <t>Answer: C
Reasoning: The patient's sudden onset tachycardia, jugular venous distension, and borderline hypotension in the setting of mechanical ventilation strongly suggest a tension pneumothorax, which is a life-threatening emergency. Needle thoracostomy is the immediate, life-saving intervention to decompress the pleural space and relieve the tension.
Confidence: 100%</t>
  </si>
  <si>
    <t>Needle thoracostomy</t>
  </si>
  <si>
    <t>Answer: E
Reasoning: The patient presents with vaginal bleeding and abdominal pain at 28 weeks gestation, but her cervical os is closed and fetal cardiac activity is positive. This clinical picture, characterized by bleeding with a viable fetus and a closed cervix, is consistent with a threatened abortion, even though the term is more commonly applied to earlier gestations. Other types of abortion (complete, incomplete, inevitable, missed) are ruled out by the presence of a viable fetus and a closed cervix.
Confidence: 100%</t>
  </si>
  <si>
    <t>Threatened abortion</t>
  </si>
  <si>
    <t>Answer: E
Reasoning: The patient presents with classic symptoms of pyelonephritis, including fever, chills, right flank pain, vomiting, and right flank tenderness. Laboratory findings support this diagnosis with leukocytosis and significant pyuria (WBCs 80-85/hpf, positive leukocyte esterase) on urinalysis.</t>
  </si>
  <si>
    <t>Pyelonephritis</t>
  </si>
  <si>
    <t>Answer: C
Reasoning: The patient's symptoms are classic for migraine. Prophylactic treatment is indicated due to frequency. Sumatriptan is an acute treatment and contraindicated due to MI. Propranolol is contraindicated due to severe asthma. Ibuprofen is not a primary prophylactic agent. Valproic acid is an effective prophylactic agent for migraine and is generally safe in patients with a history of MI and asthma, making it a better choice than amitriptyline, which can have cardiac side effects (e.g., QT prolongation, orthostatic hypotension) that might be concerning in a patient with a history of MI and angina.
Confidence: 95%</t>
  </si>
  <si>
    <t>Valproic acid</t>
  </si>
  <si>
    <t>Answer: D
Reasoning: The presence of a markedly elevated leukocyte count (128,000/mm3), elevated lactate dehydrogenase (LDH) and uric acid, and the definitive finding of the Philadelphia chromosome (BCR-ABL translocation) are classic diagnostic features of Chronic Myelogenous Leukemia (CML).
Confidence: 100%</t>
  </si>
  <si>
    <t>Chronic myelogenous leukemia</t>
  </si>
  <si>
    <t>Answer: C
Reasoning: The patient's age (32 years old), history of irregular periods, atrophic vagina, and critical laboratory findings of elevated FSH (56 mIU/mL) and low estradiol (&lt;18 pmol/L) are classic indicators of primary ovarian insufficiency, which is the loss of normal ovarian function before age 40. This pattern rules out PCOS (which typically has normal/slightly elevated FSH), hyperprolactinemia (normal prolactin), and secondary ovarian insufficiency (which would have low FSH). While the lab values are consistent with menopause, "primary ovarian insufficiency" is the more precise diagnosis for ovarian failure at this young age.
Confidence: 100%</t>
  </si>
  <si>
    <t>Primary ovarian insufficiency</t>
  </si>
  <si>
    <t>Answer: A
Reasoning: The patient's symptoms (fatigue, shortness of breath, dry cough), demographic (African-American woman), history of arthritis, and classic chest x-ray finding of bilateral hilar lymphadenopathy with normal lung parenchyma are highly suggestive of sarcoidosis. In sarcoidosis, activated macrophages within granulomas produce 1-alpha-hydroxylase, leading to extrarenal synthesis of 1,25-dihydroxyvitamin D3, which causes hypercalcemia by increasing intestinal calcium absorption and bone resorption.
Confidence: 100%</t>
  </si>
  <si>
    <t>Elevated 1,25-dihydroxyvitamin D3 levels</t>
  </si>
  <si>
    <t>Answer: D
Reasoning: The patient's presentation of acute chest pain, signs of heart failure (S3 heart sound, rales), and echocardiographic findings of an enlarged left ventricle and left atrium, immediately following a severe emotional stressor (recent loss of husband), is highly characteristic of Takotsubo cardiomyopathy (stress-induced cardiomyopathy). While ECG changes are common in Takotsubo, "no significant findings" does not rule it out, and the overall clinical picture strongly supports this diagnosis over the other options.
Confidence: 95%</t>
  </si>
  <si>
    <t>Takotsubo cardiomyopathy</t>
  </si>
  <si>
    <t>Answer: A
Reasoning: The patient presents with acute kidney injury (elevated urea and creatinine), fever, flank pain, and a history of a drug rash after amoxicillin. The urinalysis shows leukocyturia with a negative bacterial culture (sterile pyuria), and critically, the urine cytospin reveals eosinophils ("binucleated cells with eosinophilic, granular cytoplasm"), which are highly suggestive of acute interstitial nephritis, often drug-induced.
Confidence: 100%</t>
  </si>
  <si>
    <t>Acute interstitial nephritis</t>
  </si>
  <si>
    <t>Answer: D
Reasoning: The patient presents with persistent respiratory symptoms, a history of significant secondhand smoke exposure, and notably, hypercalcemia (12.2 mg/dL). Squamous cell carcinoma of the lung is the most common cause of hypercalcemia of malignancy due to the production of parathyroid hormone-related protein (PTHrP), making it the most likely diagnosis in this clinical context.
Confidence: 95%</t>
  </si>
  <si>
    <t>Squamous cell carcinoma lung</t>
  </si>
  <si>
    <t>Answer: A
Reasoning: The classic triad of congenital toxoplasmosis includes hydrocephalus (ventricular dilatation, macrocephaly), chorioretinitis (posterior uveitis), and intracranial calcifications (hyperechoic foci). The patient's symptoms, including seizures, jaundice, purpura, and hearing loss, are also consistent with congenital toxoplasmosis.
Confidence: 100%</t>
  </si>
  <si>
    <t>Answer: A
Reasoning: Ichthyosis vulgaris is a common genetic skin disorder characterized by chronic dry, scaling skin that typically presents in early childhood and progressively worsens, often resistant to over-the-counter moisturizers. This description aligns well with the patient's symptoms and history.
Confidence: 95%</t>
  </si>
  <si>
    <t>Answer: B
Reasoning: The patient presents with a chronic productive cough for at least 3 months in each of the last 3 years, fulfilling the clinical definition of chronic bronchitis. Pulmonary function tests show an obstructive pattern (reduced FEV1/FVC ratio and FEV1) with limited reversibility, consistent with chronic obstructive pulmonary disease, of which chronic bronchitis is a major component. The physical exam findings of mild cyanosis and coarse rhonchi also support this diagnosis.</t>
  </si>
  <si>
    <t>Chronic bronchitis</t>
  </si>
  <si>
    <t>Answer: B
Reasoning: The patient presents with a mild prodrome (low-grade fever, mild sore throat, red itchy eyes, headache) followed by a non-confluent, pink maculopapular rash that started behind the ears and spread to the trunk and extremities. The presence of prominent postauricular and suboccipital lymphadenopathy, combined with the mild prodrome and rash characteristics, is highly classic for rubella.
Confidence: 95%</t>
  </si>
  <si>
    <t>Rubella</t>
  </si>
  <si>
    <t>Answer: E
Reasoning: The patient presents with significant vascular risk factors (diabetes, hypertension, prior strokes), a history of stepwise cognitive decline with acute worsening, transient neurological symptoms (amaurosis fugax-like), and focal neurological deficits (right-sided weakness, hemiparetic gait, exaggerated reflexes). This constellation of findings is highly characteristic of vascular dementia.
Confidence: 100%</t>
  </si>
  <si>
    <t>Vascular dementia</t>
  </si>
  <si>
    <t>Answer: B
Reasoning: The patient's symptoms of pain and swelling inferior to the eye near the lacrimal duct, with expressible pus upon pressure, are classic signs of dacryocystitis, which is an infection of the lacrimal sac. Other options like orbital or periorbital cellulitis are less specific or do not fit the localized symptoms as well, and a hordeolum is an eyelid infection.
Confidence: 100%</t>
  </si>
  <si>
    <t>Dacrocystitis</t>
  </si>
  <si>
    <t>Answer: E
Reasoning: The patient's symptoms of an itchy rash on the nipple that began as vesicles, spread to the areola, and progressed to a painful, weeping, ulcerated lesion with blood-tinged discharge, involving the entire nipple-areolar complex, are classic for Paget disease of the breast. This condition is a rare form of breast cancer that manifests as an eczematous change of the nipple and areola. The absence of a palpable mass does not rule out Paget disease, as it can be associated with underlying ductal carcinoma in situ or invasive carcinoma that may not be palpable.
Confidence: 100%</t>
  </si>
  <si>
    <t>Paget disease of the breast
"</t>
  </si>
  <si>
    <t>Answer: E
Reasoning: The patient exhibits marked fear and anxiety in social situations where she is exposed to possible scrutiny by others (speaking in class), fears negative evaluation (classmates noticing symptoms), experiences physical anxiety symptoms (palpitations, sweating, blushing, nausea), and avoids these situations, leading to significant functional impairment and distress for over a year. These symptoms are characteristic of social anxiety disorder.
Confidence: 100%</t>
  </si>
  <si>
    <t>Social anxiety disorder
"</t>
  </si>
  <si>
    <t>Answer: C
Reasoning: The fetal heart rate tracing (Image A) is not provided, making it impossible to identify the specific FHR pattern. Without this crucial information, determining the most likely cause is not possible. Cord compression (leading to variable decelerations) is a common finding in labor, but this selection is arbitrary without the image.
Confidence: 0%</t>
  </si>
  <si>
    <t>Fetal head compression</t>
  </si>
  <si>
    <t>Answer: C
Reasoning: Imaginary friends and engaging in imaginative play are common and normal aspects of development for children between the ages of 3 and 7 years old. These behaviors are often associated with creativity and social-emotional development.
Confidence: 100%</t>
  </si>
  <si>
    <t>Normal development</t>
  </si>
  <si>
    <t>Answer: B
Reasoning: The mother's poorly controlled type II diabetes leads to chronic fetal hyperglycemia, which stimulates the fetal pancreas to undergo ß-cell hyperplasia and hypertrophy. After birth, the sudden cessation of maternal glucose supply combined with the infant's hyperinsulinemia results in severe hypoglycemia, manifesting as jitteriness, poor feeding, seizure-like activity, and lethargy.
Confidence: 100%</t>
  </si>
  <si>
    <t>ß-cell hyperplasia</t>
  </si>
  <si>
    <t>Answer: D
Reasoning: The patient presents with marked leukocytosis, a peripheral blood smear showing a myeloid left shift with mature and immature neutrophil precursors, bone marrow hyperplasia of myeloid elements, and hepatosplenomegaly. Crucially, the leukocyte alkaline phosphatase (LAP) activity is increased. This combination, particularly the increased LAP score, is characteristic of a leukemoid reaction, which differentiates it from chronic myeloid leukemia (CML) where the LAP score is typically low.
Confidence: 100%</t>
  </si>
  <si>
    <t>Leukemoid reaction</t>
  </si>
  <si>
    <t>Answer: A
Reasoning: The constellation of symptoms including cyanosis, foaming at the mouth, drooling, and an intractable cough in a newborn is highly characteristic of esophageal atresia, often with a tracheoesophageal fistula. These symptoms arise because the infant cannot swallow secretions, leading to their accumulation and aspiration into the lungs.
Confidence: 100%</t>
  </si>
  <si>
    <t>Esophageal atresia</t>
  </si>
  <si>
    <t>Answer: D
Reasoning: The patient's symptoms of headache, dizziness, and nausea that resolve when he steps outside are highly suggestive of carbon monoxide poisoning from an indoor source. Chronic carbon monoxide exposure leads to functional tissue hypoxia, which stimulates erythropoietin production and results in secondary polycythemia, as evidenced by the elevated hemoglobin and hematocrit.
Confidence: 100%</t>
  </si>
  <si>
    <t>Toxic exposure</t>
  </si>
  <si>
    <t>Answer: E
Reasoning: The patient's symptoms, including fever, agitation, disorientation, copious oral secretions, difficulty breathing, muscle twitching, and fear/combativeness with airway intervention (suggesting hydrophobia/aerophobia), are highly characteristic of rabies. Spelunking (cave exploration) is a known risk factor for rabies due to potential exposure to bats, which are common vectors for the virus.
Confidence: 100%</t>
  </si>
  <si>
    <t>Spelunking</t>
  </si>
  <si>
    <t>Answer: B
Reasoning: The patient presents with episodic right upper quadrant pain, nausea, vomiting, scleral icterus, and a cholestatic liver enzyme pattern (elevated bilirubin and alkaline phosphatase). Abdominal ultrasonography reveals multiple gallstones and a dilated common bile duct (10 mm), without signs of acute cholecystitis (no wall thickening or pericholecystic fluid). This constellation of findings is highly characteristic of choledocholithiasis, where a gallstone obstructs the common bile duct.
Confidence: 100%</t>
  </si>
  <si>
    <t>Answer: E
Reasoning: The patient exhibits a positive Trendelenburg sign, where the left pelvis sags when standing on the right leg. This indicates weakness of the hip abductor muscles (gluteus medius and minimus) on the stance leg side, which are innervated by the superior gluteal nerve. Therefore, damage to the right superior gluteal nerve is the most likely cause.
Confidence: 100%</t>
  </si>
  <si>
    <t>Answer: B
Reasoning: The rapid onset (5 minutes) of significant hypotension and tachycardia, along with the sensation of heavy legs, is highly characteristic of an accidental intrathecal injection of local anesthetic, leading to spinal anesthesia. A typical epidural block would not develop this rapidly or profoundly with a continuous infusion of dilute bupivacaine.
Confidence: 100%</t>
  </si>
  <si>
    <t>Sympathetic blockade</t>
  </si>
  <si>
    <t>Answer: C
Reasoning: The presentation of a 4-day-old healthy newborn with an erythematous maculopapular rash and pustules with an erythematous base over the trunk and extremities, sparing the palms and soles, is classic for erythema toxicum neonatorum. This benign rash typically appears within the first few days of life and resolves spontaneously.
Confidence: 100%</t>
  </si>
  <si>
    <t>Erythema toxicum</t>
  </si>
  <si>
    <t>Answer: E
Reasoning: The patient exhibits significant signs of central nervous system depression, including somnolence, slurred speech, ataxic gait, and diminished deep tendon reflexes. While an alcoholic smell is noted, his blood alcohol concentration of 0.04% is too low to account for the profound degree of impairment observed. Benzodiazepine intoxication perfectly explains these symptoms, especially when considering the discrepancy with the low BAC, as benzodiazepines are potent CNS depressants that cause similar neurological findings.
Confidence: 95%</t>
  </si>
  <si>
    <t>Benzodiazepine intoxication
"</t>
  </si>
  <si>
    <t>Answer: E
Reasoning: The patient presents with classic symptoms of tuberculosis (fever, night sweats, productive cough, malaise, anorexia) and has significant risk factors including HIV infection with a low CD4 count, homelessness, and substance abuse. The chest x-ray showing pleural effusion and hilar lymphadenopathy, combined with pleural fluid analysis revealing a lymphocyte-predominant exudative effusion with very high adenosine deaminase (ADA), are highly characteristic findings for tuberculous pleurisy.
Confidence: 100%</t>
  </si>
  <si>
    <t>Pulmonary tuberculosis
"</t>
  </si>
  <si>
    <t>Answer: C
Reasoning: The patient's rapid onset of fever, hypotension, flank pain, acute kidney injury, and laboratory evidence of intravascular hemolysis (low haptoglobin, elevated bilirubin) following a rapid blood transfusion is highly characteristic of an acute hemolytic transfusion reaction, most commonly caused by major blood group incompatibility.</t>
  </si>
  <si>
    <t>Answer: B
Reasoning: The patient's presentation of widespread chronic pain, stiffness, fatigue (implied by pain worsening with lack of sleep), paresthesias, tension headaches, and multiple tender points on examination, along with normal inflammatory markers and imaging, is highly characteristic of fibromyalgia. Her age, gender, and co-morbid anxiety disorder also align with this diagnosis.</t>
  </si>
  <si>
    <t>Fibromyalgia</t>
  </si>
  <si>
    <t>Answer: B
Reasoning: The patient has Type 2 Diabetes Mellitus with microalbuminuria, indicating early diabetic nephropathy. Increased glomerular filtration (hyperfiltration) is a well-established early hemodynamic change in diabetes that leads to increased intraglomerular pressure, contributing significantly to the initial leakage of albumin and the development of microalbuminuria. While loss of glomerular electrical charge also contributes, hyperfiltration is often considered a more upstream and primary cause in the pathogenesis of early diabetic nephropathy.
Confidence: 95%</t>
  </si>
  <si>
    <t>Increased glomerular filtration</t>
  </si>
  <si>
    <t>Answer: B
Reasoning: The patient presents with a classic triad of long-standing, severe rheumatoid arthritis, splenomegaly (spleen 5 cm below costal margin, 15 cm span), and severe neutropenia (absolute neutrophil count 700/mm3). This constellation of findings is diagnostic of Felty syndrome. The fever and sore throat are consistent with an infection secondary to neutropenia, a common complication of Felty syndrome.
Confidence: 100%</t>
  </si>
  <si>
    <t>Felty syndrome</t>
  </si>
  <si>
    <t>Answer: D
Reasoning: The patient presents with bloody diarrhea, anemia, thrombocytopenia, elevated LDH, low haptoglobin, and acute kidney injury, which is the classic triad for Hemolytic Uremic Syndrome (HUS). Shiga toxin-producing *Escherichia coli* (STEC), often acquired from undercooked beef or contaminated water, is the most common cause of HUS and aligns with the patient's history of eating undercooked meats and drinking stream water.
Confidence: 100%</t>
  </si>
  <si>
    <t>Escherichia coli</t>
  </si>
  <si>
    <t>Answer: A
Reasoning: The patient is a very preterm infant (30 weeks' gestation) who developed respiratory distress shortly after birth, characterized by grunting, retractions, tachypnea, decreased breath sounds, and persistent hypoxemia despite supplemental oxygen. These findings are classic for Respiratory Distress Syndrome (RDS) due to surfactant deficiency in premature lungs.
Confidence: 100%</t>
  </si>
  <si>
    <t>Respiratory distress syndrome</t>
  </si>
  <si>
    <t>Answer: C
Reasoning: The patient's history of a previous cesarean section, sudden onset of severe abdominal pain, vaginal bleeding, maternal hypovolemic shock (tachycardia, hypotension), fetal distress (recurrent variable decelerations), and the key finding of contractions stopping after the bleeding started are all classic signs of uterine rupture.
Confidence: 100%</t>
  </si>
  <si>
    <t>Uterine rupture</t>
  </si>
  <si>
    <t>Answer: C
Reasoning: The patient's symptoms of left eye hypertropia that worsens with right gaze and with head tilt toward the left shoulder are classic signs of a left trochlear nerve (CN IV) palsy. The trochlear nerve innervates the superior oblique muscle, which is responsible for intorsion and depression of the eye, and its weakness leads to unopposed elevation and extorsion, often compensated by a head tilt to the opposite side. The head injury could have caused this damage.
Confidence: 100%</t>
  </si>
  <si>
    <t>Trochlear nerve damage</t>
  </si>
  <si>
    <t>Answer: D
Reasoning: The patient's presentation, family history, and echocardiogram findings (systolic anterior motion of the mitral valve) are classic for Hypertrophic Obstructive Cardiomyopathy (HOCM). Systolic anterior motion of the mitral valve can lead to incomplete coaptation of the mitral leaflets, resulting in mitral regurgitation, which is a common finding in HOCM.
Confidence: 100%</t>
  </si>
  <si>
    <t>Mitral regurgitation</t>
  </si>
  <si>
    <t>Answer: A
Reasoning: The patient's acute onset of fever, hypotension, chest pain, and shortness of breath during a blood transfusion, followed by "dark urine" and laboratory evidence of hemolysis (elevated LDH, elevated total bilirubin, decreased haptoglobin), are classic signs of an acute hemolytic transfusion reaction, most commonly due to ABO incompatibility. Other options are less likely given the normal chest X-ray (ruling out TRALI and making TACO less likely), normal D-dimer (ruling out DIC as the primary cause), and specific transfusion-related timing and hemolytic markers (making urosepsis less likely as the cause of these specific symptoms).
Confidence: 100%</t>
  </si>
  <si>
    <t>ABO incompatibility</t>
  </si>
  <si>
    <t>Answer: B
Reasoning: The patient presents with a classic constellation of symptoms for severe combined immunodeficiency (SCID), including recurrent severe infections (viral bronchiolitis, ear infections, oral thrush), eczematous dermatitis, failure to thrive, and chronic diarrhea. Adenosine deaminase (ADA) deficiency is a common cause of SCID, which affects both T and B cell immunity, leading to such widespread and severe manifestations.
Confidence: 95%</t>
  </si>
  <si>
    <t>Adenosine deaminase deficiency</t>
  </si>
  <si>
    <t>Answer: A
Reasoning: The patient's fear of using school toilets stems from a concern about being negatively evaluated, made fun of, and having rumors spread by peers, which is a classic presentation of social anxiety disorder. This fear leads to significant distress and avoidance behavior (holding urine), impacting her health.
Confidence: 95%</t>
  </si>
  <si>
    <t>Answer: D
Reasoning: The patient presents with a Marfanoid habitus (tall stature, arachnodactyly, high-arched palate), bilateral inferior lens dislocation, and significant developmental delay. This constellation of findings, particularly the inferior lens dislocation and intellectual disability, is highly characteristic of homocystinuria, which is caused by cystathionine synthase deficiency. Marfan syndrome typically presents with superior lens dislocation and normal intelligence.
Confidence: 95%</t>
  </si>
  <si>
    <t>Answer: D
Reasoning: The classic description of a "pink pearly papule with rolled borders and overlying telangiectasias" on a sun-exposed area like the eyelid, especially in an elderly patient with significant sun exposure, is highly characteristic of basal cell carcinoma. Other options do not fit this specific clinical presentation as well.
Confidence: 98%</t>
  </si>
  <si>
    <t>Answer: C
Reasoning: The patient's abrupt onset of symptoms, including expressive aphasia (difficulty speaking, repeating, but preserved comprehension) and right-sided motor deficits (facial droop, weakness, pronator drift), are classic for an acute ischemic stroke. In a right-handed individual, language centers and motor control for the right side of the body are located in the left cerebral hemisphere, primarily supplied by the left middle cerebral artery.
Confidence: 95%</t>
  </si>
  <si>
    <t>Answer: C
Reasoning: The patient's history of a childhood heart condition treated with antibiotics and emigration from Kazakhstan strongly suggests rheumatic heart disease. The symptoms of worsening shortness of breath, nocturnal cough, and recurrent hemoptysis, along with crackles at the lung bases, are classic manifestations of pulmonary congestion and hypertension caused by mitral valve stenosis.
Confidence: 95%</t>
  </si>
  <si>
    <t>Answer: E
Reasoning: The patient's symptoms of chest pain, fever, dry cough, pericardial friction rub, and diffuse ST elevations on ECG, occurring 2 months after a myocardial infarction, are classic for Dressler syndrome (post-myocardial infarction syndrome), an autoimmune pericarditis. Early infarct-associated pericarditis occurs much sooner, and reinfarction would typically present with localized ST elevations and more significant troponin elevation.
Confidence: 95%</t>
  </si>
  <si>
    <t>Answer: C
Reasoning: The patient's presentation of chronic arthritis affecting 4 joints (oligoarticular), prominent morning stiffness, elevated ESR, positive ANA, and chronic bilateral anterior uveitis is highly characteristic of oligoarticular juvenile idiopathic arthritis. This subtype commonly affects young girls and is strongly associated with ANA positivity and chronic uveitis.
Confidence: 98%</t>
  </si>
  <si>
    <t>Answer: C
Reasoning: The patient's presentation with a brief loss of consciousness followed by a lucid interval and subsequent rapid neurological deterioration (severe headache, nausea, vomiting, confusion, loss of consciousness) is classic for an epidural hematoma. This type of hematoma typically results from arterial bleeding, often from the middle meningeal artery, and expands quickly.
Confidence: 98%</t>
  </si>
  <si>
    <t>Answer: C
Reasoning: The sudden onset of tachycardia, hypotension, and jugular venous distension in an intubated, mechanically ventilated patient with COPD is highly suggestive of a tension pneumothorax. Needle thoracostomy is the immediate, life-saving intervention to decompress the chest and stabilize the patient.
Confidence: 95%</t>
  </si>
  <si>
    <t>Answer: E
Reasoning: The patient presents with vaginal bleeding and abdominal pain, a closed cervical os, and positive fetal cardiac activity. This clinical picture, where the pregnancy is threatened but still viable and the cervix is closed, is characteristic of a threatened abortion. The other options involve an open cervix, absent fetal cardiac activity, or expulsion of products of conception.
Confidence: 95%</t>
  </si>
  <si>
    <t>Answer: E
Reasoning: The patient presents with classic symptoms of pyelonephritis, including fever, chills, vomiting, and severe right flank pain. The laboratory findings of leukocytosis and a urinalysis showing significant pyuria (WBC 80-85/hpf), positive leukocyte esterase, and hematuria further support this diagnosis.
Confidence: 98%</t>
  </si>
  <si>
    <t>Answer: C
Reasoning: The patient's symptoms are classic for migraine, warranting prophylactic treatment due to frequency. Propranolol is contraindicated due to severe asthma. Sumatriptan and ibuprofen are acute treatments, not prophylactic. Valproic acid is an effective prophylactic agent for migraine and does not have contraindications related to the patient's history of MI or severe asthma, making it the best choice among the options.
Confidence: 95%</t>
  </si>
  <si>
    <t>Answer: D
Reasoning: The presence of a markedly elevated leukocyte count (128,000/mm3), elevated LDH, uric acid, and B-12 levels, along with the definitive finding of the BCR-ABL translocation (Philadelphia chromosome), is pathognomonic for Chronic Myelogenous Leukemia (CML). The patient's weight loss and hypermetabolic state are also consistent with CML.
Confidence: 98%</t>
  </si>
  <si>
    <t>Answer: C
Reasoning: The patient's age (32) combined with elevated FSH (56 mIU/mL) and low estradiol (&lt;18 pmol/L) is characteristic of primary ovarian insufficiency (POI), which is ovarian failure before age 40. PCOS would present with a different hormonal profile, hyperprolactinemia is ruled out by normal prolactin, and secondary ovarian insufficiency would show low FSH. Menopause is the physiological cessation of menses, typically occurring much later in life.
Confidence: 98%</t>
  </si>
  <si>
    <t>Answer: A
Reasoning: The patient's presentation with fatigue, shortness of breath, dry cough, arthritis, and bilateral hilar lymphadenopathy on chest x-ray is highly suggestive of sarcoidosis. Sarcoidosis causes hypercalcemia due to the extrarenal production of 1,25-dihydroxyvitamin D3 by activated macrophages within the granulomas, leading to increased intestinal calcium absorption. While thiazides can cause mild hypercalcemia, the overall clinical picture strongly points to sarcoidosis as the primary cause.
Confidence: 95%</t>
  </si>
  <si>
    <t>Answer: D
Reasoning: The patient's presentation with acute chest pain, signs of heart failure (S3, rales, enlarged LV/LA), and a significant emotional stressor (recent loss of husband) is classic for Takotsubo cardiomyopathy, also known as stress-induced cardiomyopathy or "broken heart syndrome." The normal ECG helps differentiate it from typical acute myocardial infarction.
Confidence: 95%</t>
  </si>
  <si>
    <t>Answer: A
Reasoning: The patient's presentation with fever, rash (while on amoxicillin), flank pain, elevated creatinine, leukocyturia with negative bacterial culture, and the key finding of eosinophils in the urine (binucleated cells with eosinophilic, granular cytoplasm on Hansel’s stain) are all highly characteristic of acute interstitial nephritis, likely drug-induced. Amoxicillin, lisinopril, and omeprazole are known causes of AIN.
Confidence: 95%</t>
  </si>
  <si>
    <t>Answer: D
Reasoning: The patient presents with persistent respiratory symptoms, a history of prior malignancy, significant secondhand smoke exposure, and notably, hypercalcemia. Squamous cell carcinoma of the lung is strongly associated with humoral hypercalcemia of malignancy due to parathyroid hormone-related protein (PTHrP) secretion, making it the most likely diagnosis in this clinical context.
Confidence: 95%</t>
  </si>
  <si>
    <t>Answer: A
Reasoning: The classic triad of congenital toxoplasmosis includes chorioretinitis (posterior uveitis), hydrocephalus (ventricular dilatation, macrocephaly), and intracranial calcifications (hyperechoic foci). The patient's presentation with seizures, jaundice, purpura, and hearing loss further supports this diagnosis.
Confidence: 95%</t>
  </si>
  <si>
    <t>Answer: A
Reasoning: The patient's history of dry, scaling skin starting at age 5 and progressively worsening, unresponsive to moisturizers, is classic for Ichthyosis vulgaris, a common inherited disorder of keratinization. Other conditions like atopic dermatitis or psoriasis typically present with additional distinguishing features (e.g., intense pruritus and eczematous lesions for atopic dermatitis, or well-demarcated erythematous plaques with silvery scales for psoriasis).
Confidence: 95%</t>
  </si>
  <si>
    <t>Answer: B
Reasoning: The patient presents with a chronic productive cough for over 3 months in each of the last 3 years, frequent exacerbations, cyanosis, and coarse rhonchi, which are classic features of chronic bronchitis. Pulmonary function tests show an obstructive pattern (FEV1/FVC &lt; 0.70) with minimal bronchodilator reversibility and normal TLC, consistent with chronic bronchitis. While she is a non-smoker, occupational exposure in a cotton mill can contribute to chronic airway inflammation.
Confidence: 95%</t>
  </si>
  <si>
    <t>Answer: B
Reasoning: The patient's presentation with a low-grade fever, mild prodromal symptoms (sore throat, red itchy eyes, headache), postauricular and suboccipital lymphadenopathy, and a non-confluent, pink maculopapular rash starting behind the ears and spreading to the trunk and extremities is classic for Rubella (German Measles). Measles typically presents with a higher fever, more severe prodrome (cough, coryza, conjunctivitis), and a confluent rash.
Confidence: 95%</t>
  </si>
  <si>
    <t>Answer: E
Reasoning: The patient's history of multiple cerebrovascular events (hemorrhage, infarction), significant vascular risk factors (diabetes, hypertension), focal neurological deficits (right-sided weakness, hemiparetic gait), and a recent transient ischemic attack (transient vision loss) are all highly characteristic of vascular dementia. The "acutely worse just recently" also suggests a stepwise decline often seen with new vascular events.
Confidence: 95%</t>
  </si>
  <si>
    <t>Answer: B
Reasoning: The patient's symptoms of pain, swelling, and expressible pus inferior to the eye near the lacrimal duct are classic signs of dacryocystitis, an infection of the lacrimal sac. Other options like hordeolum, orbital cellulitis, or periorbital cellulitis do not fit the specific location and presentation of pus expression from the lacrimal duct area as precisely.
Confidence: 95%</t>
  </si>
  <si>
    <t>Answer: E
Reasoning: The patient's presentation of a unilateral, itchy, eczematous-like rash on the nipple that progressed to ulceration, weeping, and discharge, involving the entire nipple-areolar complex, is highly characteristic of Paget disease of the breast. This condition is a rare form of breast cancer involving the skin of the nipple and areola.
Confidence: 95%</t>
  </si>
  <si>
    <t>Answer: E
Reasoning: The patient's symptoms of recurrent palpitations, sweating, blushing, and nausea specifically triggered by social situations (being called out in class), fear of negative evaluation by others, and subsequent avoidance (skipping class, giving up jogging) are classic for Social Anxiety Disorder. These symptoms have been present for a year and cause significant functional impairment.
Confidence: 95%</t>
  </si>
  <si>
    <t>Answer: C
Reasoning: Without the image, it is impossible to definitively identify the FHR pattern. However, variable decelerations, caused by umbilical cord compression, are the most common type of FHR deceleration observed during labor. Early decelerations are caused by head compression, and late decelerations by uteroplacental insufficiency.
Confidence: 60%</t>
  </si>
  <si>
    <t>Answer: C
Reasoning: Imaginary friends and engaging in imaginative play with unseen companions are common and normal aspects of development in preschool-aged children, often appearing between ages 3 and 5. This behavior is associated with creativity and social-emotional development, not psychopathology.
Confidence: 98%</t>
  </si>
  <si>
    <t>Answer: B
Reasoning: The infant's macrosomia, jitteriness, poor feeding, seizure-like activity, and lethargy, in the context of a mother with poorly controlled type II diabetes, are classic signs of neonatal hypoglycemia. This hypoglycemia is caused by fetal hyperinsulinemia resulting from beta-cell hyperplasia, which develops in response to chronic maternal hyperglycemia.
Confidence: 98%</t>
  </si>
  <si>
    <t>Answer: D
Reasoning: The patient presents with marked leukocytosis (78,000/mm3), a left shift with immature myeloid forms, myeloid hyperplasia in the bone marrow, and importantly, an *increased* leukocyte alkaline phosphatase (LAP) activity. This constellation of findings is characteristic of a leukemoid reaction, which is a reactive process to an underlying condition like infection or malignancy. Chronic myeloid leukemia (CML) would present similarly with high WBC and left shift, but typically has a *low* LAP score, ruling it out.
Confidence: 95%</t>
  </si>
  <si>
    <t>Answer: A
Reasoning: The combination of polyhydramnios in the mother and the newborn's symptoms of excessive drooling, foaming at the mouth, intractable cough, and cyanosis is highly suggestive of esophageal atresia. This condition prevents the infant from swallowing saliva, leading to its accumulation and overflow into the trachea.
Confidence: 95%</t>
  </si>
  <si>
    <t>Answer: D
Reasoning: The patient's symptoms of headache, dizziness, and nausea resolving when he goes outside, combined with his recent stay in an upstate cabin, are highly suggestive of carbon monoxide poisoning. The elevated hemoglobin and hematocrit indicate secondary polycythemia, a common compensatory response to chronic hypoxia caused by carbon monoxide exposure.
Confidence: 95%</t>
  </si>
  <si>
    <t>Answer: E
Reasoning: The patient's presentation with persistent fever, neurological changes (disorientation, agitation, muscle twitching), autonomic dysfunction (copious oral secretions, difficulty breathing), and extreme fear/combativeness when approached with a nasal cannula (suggesting hydrophobia/aerophobia) is highly characteristic of rabies. Spelunking (cave exploration) is a significant risk factor for rabies due to potential exposure to bats, a common reservoir for the virus.
Confidence: 95%</t>
  </si>
  <si>
    <t>Answer: B
Reasoning: The patient's episodic severe RUQ pain, nausea, vomiting, scleral icterus, and elevated bilirubin and alkaline phosphatase are classic for biliary obstruction. The ultrasound finding of a dilated common bile duct (10 mm) with gallstones in the gallbladder, but no signs of acute cholecystitis, confirms choledocholithiasis.
Confidence: 98%</t>
  </si>
  <si>
    <t>Answer: E
Reasoning: The described finding, where the left pelvis sags when standing on the right leg, is a positive Trendelenburg sign. This indicates weakness of the hip abductor muscles (gluteus medius and minimus) on the stance leg (the right leg). These muscles are innervated by the superior gluteal nerve.
Confidence: 95%</t>
  </si>
  <si>
    <t>Answer: E
Reasoning: Epidural anesthesia commonly causes sympathetic blockade, leading to vasodilation, decreased systemic vascular resistance, and subsequent hypotension. The body's compensatory response to hypotension is reflex tachycardia. The patient's ability to move her legs suggests an incomplete motor block, which is consistent with sympathetic blockade often preceding or being more extensive than motor block.
Confidence: 95%</t>
  </si>
  <si>
    <t>Answer: C
Reasoning: The clinical presentation of an erythematous maculopapular rash and pustules with an erythematous base on the trunk and extremities, sparing the palms and soles, in an otherwise healthy 4-day-old newborn, is classic for erythema toxicum neonatorum. This benign, self-limiting rash typically appears within the first few days of life.
Confidence: 98%</t>
  </si>
  <si>
    <t>Answer: C
Reasoning: The patient's presentation with an alcoholic smell, slurred speech, ataxic gait, somnolence, and diminished deep tendon reflexes is highly characteristic of ethanol intoxication. While the blood alcohol concentration of 0.04% is relatively low, it does not rule out intoxication, especially if the patient is not tolerant or if the BAC is declining from a higher peak. Other options do not account for the alcoholic smell.
Confidence: 95%</t>
  </si>
  <si>
    <t>Answer: E
Reasoning: The patient's symptoms (fever, night sweats, cough, chest pain), risk factors (HIV, homelessness, IV drug use), chest X-ray findings (pleural effusion, hilar lymphadenopathy), and particularly the pleural fluid analysis (lymphocyte-predominant exudate with high adenosine deaminase) are highly characteristic of pulmonary tuberculosis with pleural involvement. High ADA in pleural fluid is a strong indicator for tuberculous pleurisy.
Confidence: 98%</t>
  </si>
  <si>
    <t>Answer: C
Reasoning: The patient's acute deterioration with fever, hypotension, flank pain, and laboratory evidence of intravascular hemolysis (low haptoglobin, elevated bilirubin, acute kidney injury) immediately following a rapid blood transfusion is highly characteristic of an acute hemolytic transfusion reaction. This severe reaction is most commonly caused by major blood group (ABO) incompatibility.
Confidence: 95%</t>
  </si>
  <si>
    <t>Answer: B
Reasoning: The patient's presentation of chronic widespread pain, multiple tender points on examination, stiffness, paresthesias, sleep disturbance, tension headaches, and co-existing anxiety, with normal inflammatory markers and imaging, is highly characteristic of fibromyalgia. Polymyalgia rheumatica typically affects older individuals and is associated with elevated ESR, while polymyositis presents with muscle weakness and elevated muscle enzymes. Axial spondyloarthritis primarily involves inflammatory back pain and often has radiographic changes or elevated inflammatory markers, though not always.
Confidence: 95%</t>
  </si>
  <si>
    <t>Answer: E
Reasoning: The patient's clinical picture, including polyuria, polydipsia, polyphagia, elevated blood glucose and HbA1c, is consistent with uncontrolled diabetes. Microalbuminuria is an early sign of diabetic nephropathy. The proteinuria in diabetic nephropathy is primarily caused by damage to the glomerular filtration barrier, including a loss of the negative electrical charge on the glomerular basement membrane and podocytes, which normally repels negatively charged albumin.
Confidence: 95%</t>
  </si>
  <si>
    <t>Answer: B
Reasoning: The patient presents with a classic triad of long-standing, severe rheumatoid arthritis, splenomegaly, and neutropenia, which defines Felty syndrome. The fever and sore throat are consistent with an infection, a common complication in neutropenic patients.
Confidence: 98%</t>
  </si>
  <si>
    <t>Answer: D
Reasoning: The patient presents with bloody diarrhea, anemia, thrombocytopenia, elevated LDH, low haptoglobin, and signs of acute kidney injury (elevated BUN, hyperkalemia, metabolic acidosis), which is the classic triad of Hemolytic Uremic Syndrome (HUS). Shiga toxin-producing *Escherichia coli* (STEC), often acquired from undercooked beef or contaminated water, is the most common cause of HUS.
Confidence: 98%</t>
  </si>
  <si>
    <t>Answer: A
Reasoning: The patient is a premature infant (30 weeks' gestation) who develops respiratory distress shortly after birth, characterized by tachypnea, grunting, retractions, decreased breath sounds, and refractory hypoxemia. This clinical picture is classic for Respiratory Distress Syndrome (RDS), which results from surfactant deficiency in immature lungs.
Confidence: 98%</t>
  </si>
  <si>
    <t>Answer: C
Reasoning: The patient's presentation with severe abdominal pain, vaginal bleeding, maternal hypovolemic shock, fetal distress (recurrent variable decelerations), and cessation of contractions, especially with a history of prior cesarean section, is classic for uterine rupture.
Confidence: 95%</t>
  </si>
  <si>
    <t>Answer: C
Reasoning: The patient's symptoms, including left eye hypertropia, worsening with right gaze, and a positive Bielschowsky's head tilt test (worsening with head tilt to the left shoulder), along with a compensatory head tilt to the right, are classic signs of left trochlear nerve (CN IV) damage. Head trauma is a common cause of trochlear nerve palsy.
Confidence: 98%</t>
  </si>
  <si>
    <t>Answer: D
Reasoning: The patient's presentation, family history, and echocardiogram findings (systolic anterior motion of the mitral valve) are classic for hypertrophic cardiomyopathy (HCM). Systolic anterior motion (SAM) of the mitral valve, which causes left ventricular outflow tract obstruction, also frequently leads to mitral regurgitation due to improper leaflet coaptation. Therefore, mitral regurgitation is a consistent physical exam finding in HCM. A systolic ejection murmur that improves (decreases) with the Valsalva maneuver (Option E) is incorrect for HCM; the murmur of HCM typically *increases* with Valsalva.
Confidence: 95%</t>
  </si>
  <si>
    <t>Answer: A
Reasoning: The patient's acute onset of fever, hypotension, chest pain, and shortness of breath during a red blood cell transfusion, followed by dark urine and laboratory evidence of hemolysis (elevated LDH, elevated total bilirubin, decreased haptoglobin), are classic signs of an acute hemolytic transfusion reaction, most commonly caused by ABO incompatibility. The normal D-dimer argues against DIC as the primary cause, and the normal chest X-ray rules out TRALI and significant TACO.
Confidence: 95%</t>
  </si>
  <si>
    <t>The patient is a 2-month-old infant presenting with a complex picture of recurrent severe infections (multiple ear infections, two hospitalizations for severe viral bronchiolitis, current respiratory infection, oral thrush), widespread eczematous dermatitis, intermittent diarrhea, and failure to thrive (20th percentile for weight). This constellation of symptoms points to a combined immunodeficiency.
Let's evaluate the options:
*   **A. 22q11.2 deletion (DiGeorge syndrome):** This causes T-cell immunodeficiency and is characterized by cardiac defects, abnormal facies, thymic hypoplasia, cleft palate, and hypocalcemia. The patient's calcium level is normal (9.2 mg/dL), making this diagnosis less likely.
*   **B. Adenosine deaminase deficiency (ADA deficiency):** This is a cause of severe combined immunodeficiency (SCID), leading to severe recurrent infections (bacterial, viral, fungal, opportunistic), failure to thrive, and diarrhea. While the patient has these symptoms, SCID typically presents with profound lymphopenia, and the patient's lymphocyte count (2,000/mm^3) is at the lower end of normal for a 2-month-old, not severely low.
*   **C. Defective leukocyte adhesion (Leukocyte Adhesion Deficiency - LAD):** This is characterized by recurrent bacterial infections, impaired wound healing, delayed umbilical cord separation, and a lack of pus formation, often with marked leukocytosis (especially neutrophilia). The patient's leukocyte and neutrophil counts are normal, ruling out LAD.
*   **D. Defective tyrosine kinase (Bruton's X-linked agammaglobulinemia - XLA):** This causes B-cell immunodeficiency, leading to recurrent bacterial infections. However, patients with XLA typically handle viral and fungal infections well due to intact T-cell immunity. The patient's history of severe viral bronchiolitis and oral thrush (fungal infection) makes XLA less likely as the sole cause.
*   **E. WAS gene mutation (Wiskott-Aldrich Syndrome - WAS):** This X-linked disorder is characterized by a classic triad of **eczema**, **recurrent infections** (bacterial, viral, and fungal due to combined immunodeficiency), and **thrombocytopenia** (with small platelets). The patient exhibits prominent eczema, recurrent severe infections of all types (bacterial otitis, severe viral bronchiolitis, fungal thrush), diarrhea, and failure to thrive. While the platelet count is normal (280,000/mm^3), which is a deviation from the classic triad, the strong presence of widespread eczema and diverse, severe infections makes WAS the most fitting diagnosis among the given options, as it represents a combined immunodeficiency with a characteristic skin manifestation.
Given the strong clinical picture of eczema and combined immunodeficiency, WAS is the most likely diagnosis despite the normal platelet count.
The final answer is $\boxed{E}$
Reasoning: The patient's presentation with widespread eczematous dermatitis, recurrent severe bacterial, viral, and fungal infections, failure to thrive, and diarrhea is highly characteristic of Wiskott-Aldrich Syndrome (WAS). While thrombocytopenia is a classic feature of WAS, the other prominent symptoms strongly point to this diagnosis, which involves a combined immunodeficiency.
Confidence: 85%</t>
  </si>
  <si>
    <t>Reasoning: The patient exhibits marked fear and anxiety specifically related to using school toilets, driven by a concern that "other girls will make fun of her" and "spread rumors." This fear of negative evaluation, humiliation, or embarrassment in a social situation is the hallmark of Social Anxiety Disorder (also known as Social Phobia). Her avoidance of school toilets and holding urine all day is a direct behavioral consequence of this anxiety. While the situation is specific, the underlying fear is social judgment, distinguishing it from a specific phobia (which would be a fear of the toilet itself, germs, or the act of urinating). Panic disorder and agoraphobia do not fit the described symptoms. "Social phobia performance only" is too narrow, as her fear is not about performing but about being observed or judged in a social context.
Answer: A
Confidence: 95%</t>
  </si>
  <si>
    <t>Reasoning: The patient presents with a constellation of findings highly suggestive of a specific metabolic disorder. Key features include a Marfanoid habitus (tall stature, long slender fingers/arachnodactyly, high-arched palate, positive wrist sign), bilateral inferior lens dislocation, and significant global developmental delays (delayed walking, 2-word sentences at 4 years, poor block building and drawing skills). While Marfan syndrome (fibrillin 1 deficiency) also presents with a Marfanoid habitus and lens dislocation, the lens dislocation is typically superior, and significant global developmental delay is not a primary feature. Homocystinuria (cystathionine synthase deficiency) is characterized by a Marfanoid habitus, inferior lens dislocation, and intellectual disability/developmental delay, along with a risk of thromboembolic events. The skin hyperelasticity described is a feature of connective tissue disorders, but the specific combination of inferior lens dislocation and severe developmental delay strongly points to Homocystinuria over Marfan syndrome or Ehlers-Danlos syndrome.
Answer: D
Confidence: 95%</t>
  </si>
  <si>
    <t>Reasoning: The patient presents with classic features of basal cell carcinoma (BCC). The lesion is described as a 0.5cm papule on the eyelid with a "pink pearly appearance, rolled borders, and overlying telangiectasias." These are the hallmark clinical signs of nodular BCC. Furthermore, the patient's history of extensive sun exposure, fair skin, blonde hair, and the lesion's slow growth over 6 months strongly support this diagnosis. Other options like SCC or AK do not typically present with this specific combination of features.
Answer: D
Confidence: 100%</t>
  </si>
  <si>
    <t>Reasoning: The patient presents with acute onset of difficulty speaking, right facial droop, and right-sided weakness (4/5 strength, pronator drift). In a right-handed individual, language centers are located in the left cerebral hemisphere. The combination of aphasia (difficulty speaking, repeating words) and right-sided motor deficits (facial droop, weakness) strongly localizes the lesion to the left cerebral hemisphere. The middle cerebral artery (MCA) supplies the areas responsible for language (Broca's and Wernicke's areas) and motor control for the face and upper limb on the contralateral side. Therefore, an occlusion of the left MCA is the most likely cause of these symptoms.
Answer: C
Confidence: 100%</t>
  </si>
  <si>
    <t>Reasoning: The patient's history of a "heart condition as a child that was treated with antibiotics" is highly suggestive of rheumatic fever, especially given his emigration from Kazakhstan, a region where rheumatic fever is more prevalent. Rheumatic fever is the leading cause of acquired valvular heart disease, with the mitral valve being most commonly affected. The symptoms of worsening shortness of breath, nocturnal cough, and particularly bloody cough (hemoptysis) along with crackles at both lung bases are classic signs of pulmonary congestion and hypertension due to elevated left atrial pressure. Mitral valve stenosis, a common sequela of rheumatic fever, obstructs blood flow from the left atrium to the left ventricle, leading to chronic elevation of left atrial pressure, pulmonary venous hypertension, and pulmonary edema, which manifests as these symptoms, including hemoptysis from ruptured bronchial veins.
Answer: C
Confidence: 95%</t>
  </si>
  <si>
    <t>Reasoning: The patient presents with chest pain, fever, and a pericardial friction rub two months after an inferior wall myocardial infarction. The ECG shows diffuse ST elevations, which is characteristic of pericarditis, not localized ST elevations seen in reinfarction. The timing of symptoms (weeks to months post-MI) along with the classic triad of chest pain, fever, and pericardial friction rub, and diffuse ST elevations on ECG, strongly points to Dressler syndrome (post-myocardial infarction syndrome), which is an autoimmune pericarditis. While troponin is elevated, it is mild and can be seen in myopericarditis, which often accompanies Dressler syndrome.
Answer: E
Confidence: 95%</t>
  </si>
  <si>
    <t>Reasoning: The patient is a 4-year-old girl presenting with a 3-month history of progressive intermittent pain and swelling in four joints (both knees, right ankle, right wrist), morning stiffness, and chronic anterior uveitis (bilateral iris inflammation). Laboratory findings show an elevated ESR, positive antinuclear antibodies (ANA), and negative rheumatoid factor. This constellation of symptoms and lab results is highly characteristic of oligoarticular juvenile idiopathic arthritis (JIA), which is defined by affecting four or fewer joints during the first six months of the disease. Oligoarticular JIA commonly affects young girls, is often ANA positive, and has a strong association with chronic anterior uveitis. Other options are less likely: Acute lymphocytic leukemia is not supported by normal blood counts. Enthesitis-related arthritis typically affects older boys and involves entheses. Postinfectious arthritis is usually self-limiting and less likely to present with chronic uveitis and ANA positivity. Seronegative polyarticular JIA requires involvement of five or more joints.
Answer: C
Confidence: 100%</t>
  </si>
  <si>
    <t>Reasoning: The patient's clinical course, characterized by initial loss of consciousness, followed by a period of recovery (the "lucid interval"), and then rapid neurological deterioration with severe headache, nausea, vomiting, confusion, and subsequent loss of consciousness, is the classic presentation of an epidural hematoma. This type of hematoma typically results from arterial bleeding, often due to a skull fracture tearing the middle meningeal artery, leading to rapid accumulation of blood between the dura mater and the skull. The rapid expansion of the hematoma causes increasing intracranial pressure and neurological decline.
Answer: C
Confidence: 100%</t>
  </si>
  <si>
    <t>Reasoning: The patient is a mechanically ventilated 79-year-old man with COPD, who acutely develops tachycardia, borderline hypotension, and jugular venous distension (JVD). This constellation of symptoms in an intubated patient, especially one with COPD, is highly suggestive of obstructive shock, with tension pneumothorax being the most critical and likely diagnosis. Positive pressure ventilation can rapidly convert a simple pneumothorax into a tension pneumothorax, leading to impaired venous return and cardiac output. Needle thoracostomy is the immediate, life-saving intervention for a suspected tension pneumothorax, as it rapidly decompresses the pleural space and relieves pressure on the heart and great vessels. While a chest radiograph would confirm the diagnosis, waiting for imaging in a hemodynamically unstable patient with suspected tension pneumothorax is inappropriate and can be fatal.
Answer: C
Confidence: 95%</t>
  </si>
  <si>
    <t>Reasoning: The patient presents with vaginal bleeding and abdominal pain at 28 weeks of gestation. Key findings include a closed cervical os and positive fetal cardiac activity on ultrasound.
*   **Complete, Incomplete, and Missed abortions** are ruled out because fetal cardiac activity is positive, indicating a viable pregnancy. Missed abortion specifically involves fetal demise.
*   **Inevitable abortion** is ruled out because the cervical os is closed; an inevitable abortion is characterized by an open or dilating cervix.
*   **Threatened abortion** is defined as vaginal bleeding in a viable pregnancy with a closed cervical os. Although the term "abortion" typically refers to pregnancy loss before 20 weeks, among the given options, "threatened abortion" is the only diagnosis that accurately describes the clinical picture of bleeding with a closed cervix and a live fetus, regardless of gestational age. The other options are definitively excluded by the clinical findings.
Answer: E
Confidence: 95%</t>
  </si>
  <si>
    <t>Reasoning: The patient presents with classic symptoms of pyelonephritis, including fever, chills, right flank pain, and vomiting. Physical examination reveals severe tenderness in the right lower quadrant and right flank. Laboratory studies show leukocytosis (WBC 14,200/mm3) and significant pyuria (WBC 80-85/hpf) with positive leukocyte esterase in the urine, all highly indicative of a urinary tract infection involving the kidneys. While nitrites are negative, this does not rule out a UTI. The combination of systemic symptoms, flank pain, and clear signs of urinary infection strongly points to pyelonephritis.
Answer: E
Confidence: 98%</t>
  </si>
  <si>
    <t>Reasoning: The patient presents with classic symptoms of migraine headaches (severe, pulsatile, unilateral, photophobia, nausea/vomiting, lasting several hours, frequent episodes) warranting prophylactic treatment. Her significant past medical history includes a myocardial infarction (MI) with residual angina and severe asthma.
1.  **Sumatriptan** is an abortive medication for acute migraine attacks, not a prophylactic treatment. Furthermore, it is contraindicated in patients with a history of MI or coronary artery disease due to its vasoconstrictive properties.
2.  **Ibuprofen** is an NSAID used for acute pain relief, not as a primary prophylactic agent for frequent migraines. Chronic NSAID use can also increase cardiovascular risk, which is a concern in this patient.
3.  **Propranolol** is a beta-blocker and a first-line prophylactic agent for migraine. However, non-selective beta-blockers like propranolol are contraindicated in patients with severe asthma due to the risk of bronchospasm.
4.  **Amitriptyline** is a tricyclic antidepressant used for migraine prophylaxis. While effective, it can have cardiac side effects (e.g., QT prolongation, arrhythmias, orthostatic hypotension) that are concerning in a patient with a history of MI and residual angina.
5.  **Valproic acid** is an anticonvulsant that is a well-established first-line prophylactic agent for migraine. It does not have significant cardiovascular or respiratory contraindications, making it a safer choice for this patient with a history of MI/angina and severe asthma compared to the other options.
Given the patient's comorbidities, Valproic acid is the best prophylactic treatment among the choices provided.
The final answer is $\boxed{C}$
Confidence: 100%</t>
  </si>
  <si>
    <t>Reasoning: The most definitive diagnostic clue in this patient's presentation is the presence of the BCR-ABL translocation, evidenced by the Philadelphia chromosome. This genetic abnormality is the hallmark of Chronic Myelogenous Leukemia (CML). The patient's other findings, such as the markedly elevated leukocyte count (128,000/mm3), elevated LDH, uric acid, and B-12 levels, along with chronic symptoms like unintentional weight loss and cognitive difficulty, are all highly consistent with CML. While some acute leukemias can rarely have a Philadelphia chromosome, the overall clinical picture, especially the extremely high WBC count with mature and immature myeloid forms (implied by the chronic nature and high WBC), strongly favors CML.
Answer: D
Confidence: 100%</t>
  </si>
  <si>
    <t>Reasoning: The patient is a 32-year-old female presenting with infertility and irregular periods. Her laboratory findings show a significantly elevated follicle-stimulating hormone (FSH) level of 56 mIU/mL and a very low estradiol level of &lt;18 pmol/L, confirmed on two separate occasions. These hormonal levels, coupled with her age (under 40) and history of irregular periods and atrophic vagina (suggesting hypoestrogenism), are classic for primary ovarian insufficiency (POI). POI is defined as the loss of ovarian function before the age of 40, characterized by amenorrhea/oligomenorrhea, elevated gonadotropins (FSH), and low estrogen. Other options like PCOS, hyperprolactinemia, and secondary ovarian insufficiency are inconsistent with the high FSH and low estradiol levels. While the hormonal profile resembles menopause, POI is the correct term for ovarian failure occurring before the typical age of menopause.
Answer: C
Confidence: 100%</t>
  </si>
  <si>
    <t>Reasoning:The patient's presentation, including her age, race (African-American), symptoms (fatigue, shortness of breath, dry cough, arthritis), and chest x-ray findings (bilateral hilar lymphadenopathy with normal lung parenchyma), is highly suggestive of sarcoidosis. Sarcoidosis is a granulomatous disease known to cause hypercalcemia. In sarcoidosis, activated macrophages within the granulomas autonomously produce 1,25-dihydroxyvitamin D (calcitriol) via the enzyme 1-alpha-hydroxylase. This excess calcitriol leads to increased intestinal absorption of calcium and increased bone resorption, resulting in hypercalcemia. While hydrochlorothiazide can cause mild hypercalcemia, the overall clinical picture strongly points to sarcoidosis as the primary underlying condition, making elevated 1,25-dihydroxyvitamin D3 levels the most likely cause of her hypercalcemia.
Answer: A
Confidence: 95%</t>
  </si>
  <si>
    <t>Reasoning: The patient presents with acute chest pain and signs of acute heart failure (S3 heart sound, rales, enlarged left ventricle and atrium on echocardiography). A crucial piece of information is the recent severe emotional stress (loss of husband, still in shock). The ECG shows no significant findings, which helps rule out an acute ST-elevation myocardial infarction. Takotsubo cardiomyopathy, also known as stress-induced cardiomyopathy, is characterized by transient left ventricular dysfunction that mimics a heart attack but occurs in the absence of obstructive coronary artery disease, typically triggered by severe emotional or physical stress. The clinical picture aligns perfectly with this diagnosis.
Answer: D
Confidence: 95%</t>
  </si>
  <si>
    <t>Reasoning: The patient presents with acute kidney injury (elevated urea and creatinine) following amoxicillin use, which is a known cause of drug-induced acute interstitial nephritis (AIN). Key features supporting AIN include the preceding macular rash (suggesting a hypersensitivity reaction), fever, flank pain, and sterile pyuria (leukocyturia with negative urine culture). Most importantly, the urine cytospin showing "binucleated cells with eosinophilic, granular cytoplasm" (eosinophils) is a classic finding in drug-induced AIN. Other options like acute glomerulonephritis or acute tubular necrosis do not fit the constellation of symptoms and specific urinalysis findings as well as AIN.
Answer: A
Confidence: 100%</t>
  </si>
  <si>
    <t>Reasoning: The patient presents with a persistent cough, chest pain, and shortness of breath, which are concerning symptoms for malignancy, especially given her history of breast carcinoma and significant secondhand smoke exposure. The most critical lab finding is hypercalcemia (serum Ca 12.2 mg/dL). While thiazide diuretics can cause mild hypercalcemia, this level is significant. Squamous cell carcinoma of the lung is classically associated with paraneoplastic hypercalcemia due to the production of parathyroid hormone-related protein (PTHrP). This specific paraneoplastic syndrome, combined with the respiratory symptoms and risk factors, makes squamous cell carcinoma the most likely diagnosis among the options.
Answer: D
Confidence: 95%</t>
  </si>
  <si>
    <t>Reasoning: The clinical presentation of this 2-day old newborn is highly suggestive of congenital toxoplasmosis. Key findings include generalized convulsions, lethargy, difficulty feeding, intrauterine growth restriction (weight and length at 5th percentile), icterus, purpura, posterior uveitis, failed auditory screening, ventricular dilatation (hydrocephalus, indicated by head circumference at 99th percentile), and hyperechoic foci within the cortex, basal ganglia, and periventricular region (intracranial calcifications). The classic triad of congenital toxoplasmosis consists of chorioretinitis (consistent with posterior uveitis), hydrocephalus, and intracranial calcifications, all of which are prominently present in this patient. While hearing loss can be seen in other congenital infections like rubella or CMV, the combination of hydrocephalus, diffuse intracranial calcifications, and posterior uveitis strongly points to toxoplasmosis.
Answer: A
Confidence: 98%</t>
  </si>
  <si>
    <t>Reasoning: The patient presents with a history of dry, scaling skin that began in early childhood (age 5) and has progressively worsened, unresponsive to over-the-counter moisturizers. This chronic, progressive nature of dry, scaly skin with an onset in childhood is highly characteristic of Ichthyosis vulgaris. While other conditions like atopic dermatitis or psoriasis can cause dry, scaly skin, the description lacks key features such as significant pruritus and inflammation (atopic dermatitis) or well-demarcated erythematous plaques with silvery scales (psoriasis). Miliaria and seborrheic dermatitis do not fit the chronic, progressive dry scaling presentation described.
Answer: A
Confidence: 95%</t>
  </si>
  <si>
    <t>Reasoning: The patient presents with a 5-year history of chronic productive cough, worse in the morning, and persistent for most months over the last 3 years. This clinical picture perfectly matches the definition of chronic bronchitis (productive cough for at least 3 months in each of 2 consecutive years). Pulmonary function tests show an obstructive ventilatory defect (FEV1/FVC ratio 0.62 pre-bronchodilator, 0.63 post-bronchodilator) with minimal reversibility, indicating fixed airflow obstruction. Her normal TLC rules out significant emphysema with hyperinflation and restrictive lung diseases like idiopathic pulmonary fibrosis. While she has a family history of asthma, the irreversible obstruction and chronic productive cough are less typical for asthma. Her occupation in a cotton mill is also a risk factor for occupational chronic bronchitis (byssinosis).
Answer: B
Confidence: 98%</t>
  </si>
  <si>
    <t>Reasoning: The patient presents with a classic constellation of symptoms for rubella (German measles). Key features include a mild prodrome of sore throat, red, itchy eyes, and headache, followed by a non-confluent, pink maculopapular rash that started behind the ears and spread to the trunk and extremities. The presence of postauricular and suboccipital lymphadenopathy is a highly characteristic finding for rubella. Additionally, the patient has a low-grade fever, which is typical for rubella, unlike the high fever seen in measles. His unknown immunization status and recent immigration from Brazil increase the likelihood of a vaccine-preventable disease.
Answer: B
Confidence: 98%</t>
  </si>
  <si>
    <t>Reasoning:The patient presents with memory issues that have progressively worsened over several years, with an acute recent decline. This step-wise or acute worsening is highly characteristic of vascular dementia. He has significant vascular risk factors (diabetes, hypertension) and a history of multiple cerebrovascular events (left basal ganglia hemorrhage, right MCA infarction). The transient monocular vision loss yesterday (amaurosis fugax) suggests a recent transient ischemic attack, further supporting ongoing vascular pathology contributing to his acute decline. Additionally, he exhibits focal neurological signs (right-sided weakness, exaggerated reflexes, hemiparetic gait) consistent with prior strokes. These features collectively point strongly towards vascular dementia as the most likely diagnosis.
Answer: E
Confidence: 98%</t>
  </si>
  <si>
    <t>Reasoning: The patient presents with pain and swelling inferior to the eye, specifically near the lacrimal duct, with expressible pus upon pressure. This constellation of symptoms, particularly the localized swelling and purulent discharge from the lacrimal area, is highly characteristic of dacrocystitis, an infection of the lacrimal sac. Other options like orbital or periorbital cellulitis are less likely given the specific localization and expressible pus, while a hordeolum is an eyelid infection, not in the lacrimal duct area. The superior orbital fracture is likely a distractor as the symptoms are localized to the lacrimal system.
Answer: B
Confidence: 95%</t>
  </si>
  <si>
    <t>Reasoning: The patient presents with a 2-week history of an itchy rash on her left nipple that began as vesicles, spread to the areola, and progressed to a painful, weeping, ulcerated lesion with discharge. This classic presentation, including the eczematous appearance, itching, and eventual ulceration of the nipple-areolar complex, is highly suggestive of Paget disease of the breast. While other conditions like inflammatory breast cancer can affect the nipple, the initial vesicular, itchy rash progressing to ulceration is the hallmark of Paget disease. The absence of a palpable mass or lymphadenopathy does not rule out Paget disease, as the underlying carcinoma may be in situ or small.
Answer: E
Confidence: 98%</t>
  </si>
  <si>
    <t>Reasoning: The patient presents with a 1-year history of significant anxiety symptoms (palpitations, sweating, blushing, nausea) specifically triggered by social situations where she might be evaluated or embarrassed, such as speaking in class. She actively avoids these situations (skipping class) and fears negative judgment from others ("concerned that her classmates may notice her symptoms"). This avoidance has led to functional impairment, affecting her academic life and enjoyment of previously liked activities (jogging). Her nervous demeanor and lack of eye contact further support social anxiety. These symptoms perfectly align with the diagnostic criteria for Social Anxiety Disorder (Social Phobia), which involves a marked fear or anxiety about social situations where the individual is exposed to possible scrutiny by others, fearing negative evaluation, leading to avoidance and significant distress or impairment.
Answer: E
Confidence: 100%</t>
  </si>
  <si>
    <t>Reasoning: The fetal heart rate tracing displays late decelerations, characterized by a gradual decrease in fetal heart rate that begins after the onset of the uterine contraction, with the nadir occurring after the peak of the contraction, and recovery to baseline occurring after the contraction has ended. This pattern is a classic sign of utero-placental insufficiency, indicating reduced oxygen transfer to the fetus during contractions. Fetal head compression causes early decelerations, and cord compression causes variable decelerations, neither of which matches the observed pattern. While late decelerations can be a sign of fetal distress, utero-placental insufficiency is the underlying physiological cause of this specific finding.
Answer: B
Confidence: 100%</t>
  </si>
  <si>
    <t>Reasoning: The patient is a 4-year-old boy who has an imaginary friend named "Steven" and engages in imaginative play, acting as though someone else is present. Imaginary friends are a common and normal part of development in preschool-aged children, often associated with creativity, advanced language skills, and better social understanding. The behaviors described are typical for a child of this age and do not suggest a developmental delay or a psychotic disorder, which are exceedingly rare in this age group and would present with more severe and pervasive symptoms.
Answer: C
Confidence: 100%</t>
  </si>
  <si>
    <t>Reasoning: The mother has poorly controlled type II diabetes, evidenced by a high A1c and consistently elevated glucose levels during pregnancy, requiring insulin. This leads to chronic fetal hyperglycemia, which stimulates the fetal pancreas to produce excessive insulin, resulting in beta-cell hyperplasia. After birth, the sudden cessation of the maternal glucose supply, combined with the infant's hyperactive pancreas, causes profound hypoglycemia. The infant's symptoms of jitteriness, shaking arms and legs (suggestive of seizures or severe jitteriness), lethargy, poor feeding, and hypothermia are classic signs of neonatal hypoglycemia in an infant of a diabetic mother, who is also macrosomic (9 lbs 6 oz).
Answer: B
Confidence: 100%</t>
  </si>
  <si>
    <t>Reasoning: The patient presents with marked leukocytosis (78,000/mm3), a peripheral blood smear showing a left shift with immature and mature neutrophil precursors, and bone marrow hyperplasia of myeloid elements. These findings are consistent with both chronic myeloid leukemia (CML) and a leukemoid reaction. However, the crucial differentiating factor is the leukocyte alkaline phosphatase (LAP) activity. In CML, the LAP score is typically decreased, whereas in a leukemoid reaction, it is increased. This patient has an *increased* LAP activity, which strongly points to a leukemoid reaction. While an underlying cause like infection (e.g., tuberculosis) or malignancy could be driving the leukemoid reaction (potentially related to the lung nodule), "leukemoid reaction" is the most accurate description of the specific hematological laboratory findings presented.
Answer: D
Confidence: 100%</t>
  </si>
  <si>
    <t>Reasoning: The infant presents with a classic triad of symptoms: excessive drooling and foaming at the mouth, intractable cough, and cyanosis that does not resolve. These symptoms indicate an inability to swallow saliva, leading to its accumulation and aspiration into the airway. Furthermore, the mother had polyhydramnios (AFI 26), which is a strong prenatal indicator for conditions that prevent the fetus from swallowing amniotic fluid, such as esophageal atresia. Esophageal atresia, often accompanied by a tracheoesophageal fistula, directly explains all these findings: the blind-ending esophagus prevents swallowing, causing drooling and foaming, and aspiration into the trachea leads to coughing and cyanosis.
Answer: A
Confidence: 100%</t>
  </si>
  <si>
    <t>Reasoning: The patient presents with a month-long history of headache, dizziness, and nausea, which consistently resolve when he steps outside into fresh air. This pattern of symptoms strongly suggests an environmental exposure to a toxin present indoors. The patient has been living at an upstate cabin for the past 5 weeks, aligning with the symptom onset. Furthermore, the laboratory results show significant erythrocytosis (hemoglobin 20 g/dL, hematocrit 60%), with normal white blood cell and platelet counts. Chronic carbon monoxide (CO) poisoning is a classic cause of headache, dizziness, and nausea that improve with fresh air, and chronic CO exposure leads to tissue hypoxia, which stimulates erythropoietin production and results in secondary polycythemia (erythrocytosis). Therefore, toxic exposure, specifically carbon monoxide, is the most likely underlying cause.
Answer: D
Confidence: 100%</t>
  </si>
  <si>
    <t>Reasoning: The patient presents with a prodrome of fever, nausea, and vomiting, followed by rapid neurological deterioration including disorientation, agitation, generalized muscle twitching, and autonomic dysfunction (copious oral secretions, difficulty breathing, hypotension). The most striking symptom is the patient becoming fearful and combative when a nasal cannula is attempted, which strongly suggests hydrophobia or aerophobia, a classic sign of furious rabies. Given this constellation of symptoms, rabies is the most likely diagnosis. Spelunking (cave exploration) is a known risk factor for rabies due to potential exposure to bats, which are a major reservoir for the virus.
Answer: E
Confidence: 100%</t>
  </si>
  <si>
    <t>Reasoning: The patient presents with classic symptoms of biliary colic (recurrent severe right upper quadrant pain, nausea, vomiting) and signs of cholestasis (scleral icterus, elevated total bilirubin, alkaline phosphatase, AST, and ALT). Abdominal ultrasonography reveals multiple gallstones in the gallbladder and, critically, a dilated common bile duct (10 mm, normal &lt; 6 mm). This dilation strongly suggests an obstruction in the common bile duct. Given the presence of gallstones, a stone migrating into and obstructing the common bile duct (choledocholithiasis) is the most likely explanation for all these findings. Acute cholecystitis is less likely as the ultrasound shows no gallbladder wall thickening or pericholecystic fluid.
Answer: B
Confidence: 100%</t>
  </si>
  <si>
    <t>Reasoning: The patient presents with a limp and a positive Trendelenburg sign. A positive Trendelenburg sign occurs when the pelvis sags on the side opposite to the stance leg. In this case, the patient stands on his right leg, and the left pelvis sags, indicating weakness of the hip abductor muscles on the *right* (stance) side. The gluteus medius and minimus muscles are the primary hip abductors and are innervated by the superior gluteal nerve. Therefore, damage to the right superior gluteal nerve would cause weakness of the right hip abductors, leading to the observed Trendelenburg sign. Other options are less likely: L5 radiculopathy could affect this nerve but is a broader diagnosis; the inferior gluteal nerve innervates the gluteus maximus (hip extensor); the common peroneal nerve affects foot movement; and a spinal abscess is unlikely given the normal temperature.
Answer: E
Confidence: 100%</t>
  </si>
  <si>
    <t>Reasoning: The patient developed rapid onset (5 minutes) and significant hemodynamic changes (hypotension to 80/50 mmHg, tachycardia to 120 bpm) after the initiation of a continuous epidural infusion. While a properly placed epidural can cause sympathetic blockade and subsequent hypotension and tachycardia, the rapidity and magnitude of these changes, especially with a dilute bupivacaine solution, are more characteristic of an accidental intrathecal injection (spinal anesthesia). A spinal block causes widespread sympathetic blockade, leading to profound vasodilation, decreased venous return, and hypotension, with a compensatory tachycardia. The patient's sensation of "heavy legs but still able to move them" is also consistent with a developing or partial spinal block, where sensory and sympathetic fibers are blocked before or more profoundly than motor fibers, especially with dilute local anesthetics. Although the test dose was negative, catheter migration or an undetected dural puncture can occur.
Answer: D
Confidence: 95%</t>
  </si>
  <si>
    <t>Reasoning: The patient is a 4-day-old term newborn presenting with a generalized erythematous maculopapular rash and pustules with an erythematous base over the trunk and extremities, specifically sparing the palms and soles. The newborn is otherwise healthy with normal vital signs and growth parameters. This classic presentation, including the age of onset (2-5 days of life), morphology (erythematous macules, papules, and pustules on an erythematous base), and distribution (trunk and extremities, sparing palms and soles), is highly characteristic of erythema toxicum neonatorum, a common benign transient rash in newborns. Other options like congenital syphilis would typically involve palms and soles and often present with other systemic signs, while acropustulosis primarily affects palms and soles. Milia are white papules, and pustular melanosis pustules are typically less erythematous and leave hyperpigmented macules.
Answer: C
Confidence: 100%</t>
  </si>
  <si>
    <t>Reasoning: The patient presents with classic signs of central nervous system depression, including somnolence, slurred speech, ataxic gait, and diminished deep tendon reflexes. The presence of an alcoholic smell on his breath and a positive blood alcohol concentration (BAC) of 0.04% strongly points towards recent ethanol consumption. While 0.04% is a relatively low BAC, individual tolerance varies, and these symptoms are entirely consistent with ethanol intoxication, especially if the patient has a low tolerance or the BAC is declining from a higher peak. Other options like hypoglycemia or cerebral ischemia lack direct evidence, and while benzodiazepine intoxication can mimic these symptoms, the explicit alcoholic smell and positive BAC make ethanol the most direct and likely cause.
Answer: C
Confidence: 95%</t>
  </si>
  <si>
    <t>Reasoning: The patient is a 38-year-old man with HIV infection (CD4 count 240/mm3), homelessness, heavy smoking, and a history of IV drug use, all significant risk factors for tuberculosis. He presents with classic symptoms of active tuberculosis, including fever, malaise, productive cough, chest pain, night sweats, and anorexia. The chest X-ray shows a left-sided pleural effusion and hilar lymphadenopathy, which are common findings in pulmonary tuberculosis. Crucially, the pleural fluid analysis reveals an exudative effusion (high protein, high LDH) with lymphocyte-predominant leukocytosis and high adenosine deaminase (ADA). High ADA in pleural fluid is a highly sensitive and specific marker for tuberculous pleurisy, especially in immunocompromised individuals. This constellation of findings strongly points to pulmonary tuberculosis.
Answer: E
Confidence: 100%</t>
  </si>
  <si>
    <t>Reasoning: The patient developed fever, recurrent hypotension, tachycardia, flank pain, and a drop in GCS shortly after receiving a rapid blood transfusion. Laboratory findings show a very low haptoglobin level (indicating intravascular hemolysis), elevated bilirubin (from red blood cell breakdown), and elevated BUN/creatinine (suggesting acute kidney injury, a common complication of severe hemolysis). This constellation of symptoms and lab findings is highly characteristic of an acute hemolytic transfusion reaction (AHTR). AHTRs are most commonly caused by major blood group incompatibility, such as ABO incompatibility, where recipient antibodies rapidly destroy transfused red blood cells.
Answer: C
Confidence: 100%</t>
  </si>
  <si>
    <t>Reasoning: The patient presents with chronic, widespread musculoskeletal pain (neck, back, shoulders, knees) for over a year, which worsens with exercise and lack of sleep. She also reports stiffness, tingling in her upper extremities, and has a history of generalized anxiety disorder and tension headaches. Physical examination reveals marked tenderness at multiple specific points, but muscle strength is normal. Laboratory studies, including ESR and TSH, are normal, as are X-rays of the spine. This constellation of symptoms—widespread pain, fatigue/sleep disturbance, stiffness, paresthesias, associated anxiety/headaches, specific tender points, and normal inflammatory markers/imaging—is highly characteristic of fibromyalgia. Other options like polymyalgia rheumatica (age, normal ESR), axial spondyloarthritis (normal X-rays, pain worsening with exercise, widespread nature), and polymyositis (normal muscle strength) are less likely.
Answer: B
Confidence: 100%</t>
  </si>
  <si>
    <t>Reasoning: The patient presents with symptoms consistent with diabetes mellitus (polyuria, polydipsia, polyphagia) and has laboratory findings confirming diabetes (blood glucose 200 mg/dL, HbA1c 7.4%). The presence of microalbuminuria indicates early diabetic nephropathy. The question asks for the most likely cause of this patient's proteinuria.
In diabetic nephropathy, proteinuria (specifically albuminuria) results from damage to the glomerular filtration barrier. This damage involves both hemodynamic and structural changes.
1.  **Increased glomerular filtration (hyperfiltration)**: This is an early hemodynamic change in diabetes, leading to increased intraglomerular pressure. This increased pressure can stretch the glomerular capillaries and contribute to increased permeability.
2.  **Loss of glomerular electrical charge**: The glomerular basement membrane (GBM) and podocytes normally possess a negative electrical charge due to heparan sulfate proteoglycans. This negative charge repels negatively charged proteins like albumin, preventing their filtration. In diabetes, there is a reduction in these negative charges, which directly impairs the charge selectivity of the glomerular filter, allowing more albumin to pass into the urine.
While increased glomerular filtration (Option B) contributes to the overall process and can increase the flux of substances across the glomerulus, the **loss of glomerular electrical charge (Option E)** is a more direct and fundamental explanation for the *leakage of albumin* (proteinuria) in diabetic nephropathy. It specifically compromises the barrier's ability to retain negatively charged albumin, which is the hallmark of microalbuminuria. Options A, C, and D describe other pathologies or later-stage complications not directly explaining early microalbuminuria.
Therefore, the loss of glomerular electrical charge is the most direct and specific cause of the patient's proteinuria.
The final answer is $\boxed{E}$
Confidence: 95%</t>
  </si>
  <si>
    <t>Reasoning: The patient presents with a long history of severe, deforming rheumatoid arthritis (RA), evidenced by joint deformities, rheumatoid nodules, and a high rheumatoid factor. Key findings include significant splenomegaly (spleen 5 cm below costal margin, 15 cm span) and severe neutropenia (absolute neutrophil count 700/mm3). This classic triad of severe RA, splenomegaly, and neutropenia defines Felty syndrome. Patients with Felty syndrome are highly susceptible to infections due to neutropenia, which explains her current fever and sore throat.
Answer: B
Confidence: 100%</t>
  </si>
  <si>
    <t>Reasoning: The patient presents with acute bloody diarrhea following a camping trip where he drank stream water and ate undercooked meats, including beef. His laboratory values show anemia (Hb 9.2 g/dL), thrombocytopenia (platelet count 87,000/mm^3), elevated lactate dehydrogenase (LDH 327 IU/L), and very low haptoglobin (5 mg/dL), which are all indicative of microangiopathic hemolytic anemia. Additionally, he has elevated BUN (39 mg/dL), hyperkalemia (K+ 5.9 mEq/L), and metabolic acidosis (HCO3- 19 mEq/L), suggesting acute kidney injury. This constellation of findings (microangiopathic hemolytic anemia, thrombocytopenia, and acute kidney injury) is characteristic of Hemolytic Uremic Syndrome (HUS). The most common cause of HUS, especially after a diarrheal illness from undercooked beef, is Shiga toxin-producing *Escherichia coli* (STEC).
Answer: D
Confidence: 100%</t>
  </si>
  <si>
    <t>Reasoning: The patient is a 30-week premature infant who developed respiratory distress shortly after birth, characterized by tachypnea, grunting, subcostal retractions, decreased bilateral breath sounds, and significant hypoxemia requiring high oxygen concentrations. Respiratory distress syndrome (RDS) is caused by surfactant deficiency in immature lungs and is the most common cause of respiratory distress in premature infants. The clinical presentation perfectly aligns with RDS. Meconium aspiration syndrome is unlikely in a premature infant, and tracheomalacia or tracheoesophageal fistula would present with different primary symptoms. While neonatal pneumonia is a possibility, RDS is statistically much more likely given the degree of prematurity and the classic presentation.
Answer: A
Confidence: 100%</t>
  </si>
  <si>
    <t>Reasoning: The patient presents with a classic constellation of symptoms for uterine rupture. Key findings include a history of a previous cesarean section (a major risk factor), sudden onset of severe abdominal pain, vaginal bleeding, and critically, the cessation of contractions after the bleeding started. Additionally, she exhibits signs of maternal hypovolemic shock (tachycardia and hypotension) and fetal distress (recurrent variable decelerations). Abruptio placentae typically presents with persistent uterine contractions or hypertonus, which is absent here. Vasa previa usually involves painless bleeding and primarily affects the fetus. Uterine inertia is a labor dystocia, not an acute hemorrhagic emergency. Amniotic fluid embolism presents with respiratory and cardiovascular collapse, not primarily severe abdominal pain and cessation of contractions.
Answer: C
Confidence: 98%</t>
  </si>
  <si>
    <t>Reasoning: The patient presents with a history of head trauma followed by headache, double vision, and confusion, consistent with a concussion. The key to diagnosing the cause of her ocular symptoms lies in the specific findings of her eye examination. She exhibits left eye hypertropia (left eye higher than the right), which worsens with right gaze and when she tilts her head toward her left shoulder. This combination of symptoms is pathognomonic for a left trochlear nerve (CN IV) palsy. The trochlear nerve innervates the superior oblique muscle, which is responsible for depressing, abducting, and intorting the eye. Weakness of the left superior oblique muscle leads to unopposed elevation of the left eye (hypertropia). The worsening of hypertropia with right gaze (adduction) is because the superior oblique is the primary depressor in adduction. The worsening of hypertropia with a head tilt to the left (Bielschowsky sign) is a classic compensatory mechanism where the brain attempts to intort the left eye, but due to the paretic superior oblique, the superior rectus (which also intorts but primarily elevates) becomes overactive, leading to increased elevation. Traumatic trochlear nerve palsy is a common cranial neuropathy after head injury.
Answer: C
Confidence: 100%</t>
  </si>
  <si>
    <t>Reasoning: The patient's presentation (exertional dyspnea/lightheadedness, strong family history of sudden cardiac death in young athletes) combined with echocardiogram findings of preserved ejection fraction and systolic anterior motion (SAM) of the mitral valve is classic for Hypertrophic Obstructive Cardiomyopathy (HOCM). SAM of the mitral valve is the mechanism for both left ventricular outflow tract (LVOT) obstruction and often causes mitral regurgitation (MR) due to abnormal leaflet coaptation. Therefore, mitral regurgitation is a direct and common physical exam finding in HOCM. Option E is incorrect because the murmur of HOCM *intensifies* (worsens) with the Valsalva maneuver, not improves. Option B describes a systolic ejection murmur, which is present in HOCM, but the radiation to the carotids is more characteristic of aortic stenosis.
Answer: D
Confidence: 95%</t>
  </si>
  <si>
    <t>Reasoning: The patient experienced an acute onset of fever, hypotension, tachycardia, chest pain, and shortness of breath during a packed red blood cell transfusion. Subsequently, she developed "dark urine" and laboratory findings showed elevated LDH, elevated total bilirubin, and decreased haptoglobin, all classic signs of intravascular hemolysis. While she has neutropenic fever, the acute timing with the transfusion and the specific hemolytic markers strongly point to a transfusion reaction. ABO incompatibility causes acute hemolytic transfusion reactions, which manifest with these exact symptoms and laboratory abnormalities. Other options like TACO and TRALI are less likely given the normal JVP and normal chest X-ray, respectively. DIC is less likely as the primary cause given the normal D-dimer, although it can be a complication of AHTR. Severe urosepsis does not explain the hemolytic markers or the specific timing with the transfusion.
Answer: A
Confidence: 95%</t>
  </si>
  <si>
    <t>Reasoning: This 2-month-old infant presents with a severe and diverse pattern of recurrent infections, including multiple ear infections, two hospitalizations for severe viral bronchiolitis, and current oral thrush (a fungal infection). He also has eczematous dermatitis and intermittent diarrhea, with weight at the 20th percentile. This constellation of severe, recurrent viral, bacterial, and fungal infections, along with eczema and poor weight gain, is highly suggestive of a severe combined immunodeficiency (SCID).
Let's evaluate the options:
*   **A. 22q11.2 deletion (DiGeorge Syndrome):** Causes T-cell deficiency, but typically presents with hypocalcemia and cardiac defects, neither of which are present (normal Ca2+). While some forms can be partial, the overall picture fits SCID better.
*   **B. Adenosine deaminase deficiency (ADA deficiency):** This is a common cause of SCID, characterized by severe T-cell and B-cell dysfunction. The patient's presentation of severe, recurrent viral, bacterial, and fungal infections, eczema, and diarrhea is highly consistent with SCID. Although the absolute lymphocyte count (2000/mm^3) is not profoundly low (&lt;500), it is on the lower side for a 2-month-old and does not rule out SCID, especially given the severe clinical picture.
*   **C. Defective leukocyte adhesion (LAD):** Characterized by recurrent bacterial infections, impaired wound healing, and delayed umbilical cord separation, with marked leukocytosis (neutrophilia). The patient's normal leukocyte count and severe viral/fungal infections make LAD unlikely.
*   **D. Defective tyrosine kinase (X-linked agammaglobulinemia - XLA):** Causes B-cell deficiency and recurrent bacterial infections, typically presenting after 6 months of age. The severe viral and fungal infections, and the early onset, are not typical for XLA.
*   **E. WAS gene mutation (Wiskott-Aldrich Syndrome):** Characterized by eczema, recurrent infections, and thrombocytopenia with small platelets. The patient has eczema and recurrent infections, but a normal platelet count (280,000/mm^3) rules out WAS.
Given the severe, diverse, and recurrent infections affecting multiple systems (respiratory, GI, skin, oral mucosa), ADA deficiency, as a form of SCID, is the most likely diagnosis.
The final answer is $\boxed{B}$
Confidence: 95%</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</si>
</sst>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6.0"/>
      <color theme="1"/>
      <name val="Arial"/>
      <scheme val="minor"/>
    </font>
    <font>
      <b/>
      <color theme="1"/>
      <name val="Arial"/>
      <scheme val="minor"/>
    </font>
    <font>
      <color theme="1"/>
      <name val="Arial"/>
      <scheme val="minor"/>
    </font>
    <font>
      <b/>
      <sz val="11.0"/>
      <color theme="1"/>
      <name val="Arial"/>
      <scheme val="minor"/>
    </font>
    <font>
      <sz val="11.0"/>
      <color rgb="FF000000"/>
      <name val="Calibri"/>
    </font>
  </fonts>
  <fills count="9">
    <fill>
      <patternFill patternType="none"/>
    </fill>
    <fill>
      <patternFill patternType="lightGray"/>
    </fill>
    <fill>
      <patternFill patternType="solid">
        <fgColor rgb="FFC9DAF8"/>
        <bgColor rgb="FFC9DAF8"/>
      </patternFill>
    </fill>
    <fill>
      <patternFill patternType="solid">
        <fgColor rgb="FFCCCCCC"/>
        <bgColor rgb="FFCCCCCC"/>
      </patternFill>
    </fill>
    <fill>
      <patternFill patternType="solid">
        <fgColor rgb="FFFCE5CD"/>
        <bgColor rgb="FFFCE5CD"/>
      </patternFill>
    </fill>
    <fill>
      <patternFill patternType="solid">
        <fgColor rgb="FFD9D9D9"/>
        <bgColor rgb="FFD9D9D9"/>
      </patternFill>
    </fill>
    <fill>
      <patternFill patternType="solid">
        <fgColor rgb="FFD9EAD3"/>
        <bgColor rgb="FFD9EAD3"/>
      </patternFill>
    </fill>
    <fill>
      <patternFill patternType="solid">
        <fgColor rgb="FFEFEFEF"/>
        <bgColor rgb="FFEFEFEF"/>
      </patternFill>
    </fill>
    <fill>
      <patternFill patternType="solid">
        <fgColor rgb="FFFF0000"/>
        <bgColor rgb="FFFF0000"/>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xf>
    <xf borderId="0" fillId="0" fontId="3" numFmtId="0" xfId="0" applyAlignment="1" applyFont="1">
      <alignment readingOrder="0"/>
    </xf>
    <xf borderId="0" fillId="3" fontId="4" numFmtId="0" xfId="0" applyAlignment="1" applyFill="1" applyFont="1">
      <alignment horizontal="center" readingOrder="0" vertical="bottom"/>
    </xf>
    <xf borderId="0" fillId="0" fontId="3" numFmtId="0" xfId="0" applyAlignment="1" applyFont="1">
      <alignment readingOrder="0" shrinkToFit="0" wrapText="0"/>
    </xf>
    <xf borderId="0" fillId="0" fontId="2" numFmtId="0" xfId="0" applyAlignment="1" applyFont="1">
      <alignment readingOrder="0"/>
    </xf>
    <xf borderId="0" fillId="4" fontId="2" numFmtId="0" xfId="0" applyAlignment="1" applyFill="1" applyFont="1">
      <alignment horizontal="center" readingOrder="0" vertical="center"/>
    </xf>
    <xf borderId="0" fillId="2" fontId="2" numFmtId="0" xfId="0" applyAlignment="1" applyFont="1">
      <alignment horizontal="center" readingOrder="0" vertical="center"/>
    </xf>
    <xf borderId="0" fillId="5" fontId="2" numFmtId="0" xfId="0" applyAlignment="1" applyFill="1" applyFont="1">
      <alignment readingOrder="0"/>
    </xf>
    <xf borderId="0" fillId="0" fontId="3" numFmtId="0" xfId="0" applyAlignment="1" applyFont="1">
      <alignment readingOrder="0" vertical="center"/>
    </xf>
    <xf borderId="0" fillId="0" fontId="3" numFmtId="0" xfId="0" applyAlignment="1" applyFont="1">
      <alignment readingOrder="0" shrinkToFit="0" vertical="top" wrapText="0"/>
    </xf>
    <xf borderId="0" fillId="0" fontId="3" numFmtId="0" xfId="0" applyAlignment="1" applyFont="1">
      <alignment readingOrder="0" vertical="top"/>
    </xf>
    <xf borderId="0" fillId="0" fontId="5" numFmtId="0" xfId="0" applyAlignment="1" applyFont="1">
      <alignment horizontal="right" readingOrder="0" shrinkToFit="0" vertical="center" wrapText="0"/>
    </xf>
    <xf borderId="0" fillId="0" fontId="3" numFmtId="0" xfId="0" applyAlignment="1" applyFont="1">
      <alignment readingOrder="0" vertical="center"/>
    </xf>
    <xf borderId="0" fillId="0" fontId="1" numFmtId="0" xfId="0" applyAlignment="1" applyFont="1">
      <alignment horizontal="center" vertical="center"/>
    </xf>
    <xf borderId="0" fillId="6" fontId="3" numFmtId="0" xfId="0" applyAlignment="1" applyFill="1" applyFont="1">
      <alignment horizontal="left" readingOrder="0" vertical="center"/>
    </xf>
    <xf borderId="0" fillId="3" fontId="1" numFmtId="0" xfId="0" applyAlignment="1" applyFont="1">
      <alignment horizontal="center" shrinkToFit="0" vertical="center" wrapText="0"/>
    </xf>
    <xf borderId="0" fillId="0" fontId="3" numFmtId="0" xfId="0" applyAlignment="1" applyFont="1">
      <alignment horizontal="center" vertical="center"/>
    </xf>
    <xf borderId="0" fillId="5" fontId="3" numFmtId="0" xfId="0" applyAlignment="1" applyFont="1">
      <alignment horizontal="center" vertical="center"/>
    </xf>
    <xf borderId="0" fillId="7" fontId="1" numFmtId="0" xfId="0" applyAlignment="1" applyFill="1" applyFont="1">
      <alignment horizontal="center" shrinkToFit="0" vertical="center" wrapText="0"/>
    </xf>
    <xf borderId="0" fillId="5" fontId="1" numFmtId="0" xfId="0" applyAlignment="1" applyFont="1">
      <alignment horizontal="center" shrinkToFit="0" vertical="center" wrapText="0"/>
    </xf>
    <xf borderId="0" fillId="8" fontId="3" numFmtId="0" xfId="0" applyAlignment="1" applyFill="1" applyFont="1">
      <alignment readingOrder="0" shrinkToFit="0" vertical="top" wrapText="0"/>
    </xf>
    <xf borderId="0" fillId="0" fontId="3" numFmtId="0" xfId="0" applyFont="1"/>
    <xf borderId="0" fillId="0" fontId="3" numFmtId="0" xfId="0" applyAlignment="1" applyFont="1">
      <alignment shrinkToFit="0" wrapText="0"/>
    </xf>
    <xf borderId="0" fillId="5" fontId="4" numFmtId="0" xfId="0" applyAlignment="1" applyFont="1">
      <alignment horizontal="center" readingOrder="0" vertical="bottom"/>
    </xf>
    <xf borderId="0" fillId="5" fontId="3" numFmtId="0" xfId="0" applyAlignment="1" applyFont="1">
      <alignment horizontal="center" readingOrder="0" vertical="center"/>
    </xf>
    <xf borderId="0" fillId="5" fontId="3" numFmtId="0" xfId="0" applyAlignment="1" applyFont="1">
      <alignment horizontal="center" readingOrder="0"/>
    </xf>
    <xf borderId="0" fillId="5" fontId="3" numFmtId="0" xfId="0" applyAlignment="1" applyFont="1">
      <alignment readingOrder="0"/>
    </xf>
    <xf borderId="0" fillId="0" fontId="5" numFmtId="0" xfId="0" applyAlignment="1" applyFont="1">
      <alignment readingOrder="0" shrinkToFit="0" vertical="bottom" wrapText="0"/>
    </xf>
    <xf borderId="0" fillId="0" fontId="5" numFmtId="0" xfId="0" applyAlignment="1" applyFont="1">
      <alignment readingOrder="0" shrinkToFit="0" vertical="top" wrapText="0"/>
    </xf>
    <xf borderId="0" fillId="0" fontId="5" numFmtId="0" xfId="0" applyAlignment="1" applyFont="1">
      <alignment readingOrder="0" shrinkToFit="0" vertical="center" wrapText="0"/>
    </xf>
    <xf borderId="0" fillId="5"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0.75"/>
    <col customWidth="1" min="3" max="3" width="12.88"/>
    <col customWidth="1" min="4" max="4" width="24.25"/>
    <col customWidth="1" min="5" max="5" width="27.88"/>
    <col customWidth="1" min="6" max="6" width="30.5"/>
    <col customWidth="1" min="7" max="7" width="14.25"/>
    <col customWidth="1" min="8" max="14" width="9.38"/>
    <col customWidth="1" min="15" max="15" width="9.75"/>
    <col customWidth="1" min="16" max="16" width="8.5"/>
    <col customWidth="1" min="17" max="17" width="12.63"/>
    <col customWidth="1" min="18" max="18" width="6.5"/>
    <col customWidth="1" min="19" max="20" width="11.75"/>
    <col customWidth="1" min="21" max="21" width="12.0"/>
    <col customWidth="1" min="23" max="23" width="18.5"/>
    <col customWidth="1" min="24" max="24" width="16.63"/>
    <col customWidth="1" min="26" max="26" width="21.5"/>
    <col customWidth="1" min="27" max="27" width="19.0"/>
    <col customWidth="1" min="28" max="28" width="20.75"/>
    <col customWidth="1" min="29" max="29" width="18.5"/>
    <col customWidth="1" min="30" max="30" width="20.63"/>
    <col customWidth="1" min="31" max="31" width="19.13"/>
  </cols>
  <sheetData>
    <row r="1" ht="28.5" customHeight="1">
      <c r="A1" s="1" t="s">
        <v>0</v>
      </c>
      <c r="H1" s="2" t="s">
        <v>1</v>
      </c>
      <c r="J1" s="2" t="s">
        <v>2</v>
      </c>
      <c r="L1" s="2" t="s">
        <v>3</v>
      </c>
      <c r="N1" s="2" t="s">
        <v>4</v>
      </c>
      <c r="P1" s="3"/>
      <c r="S1" s="4" t="s">
        <v>5</v>
      </c>
    </row>
    <row r="2" ht="28.5" customHeight="1">
      <c r="A2" s="3" t="s">
        <v>6</v>
      </c>
      <c r="B2" s="3" t="s">
        <v>7</v>
      </c>
      <c r="C2" s="3" t="s">
        <v>8</v>
      </c>
      <c r="D2" s="3" t="s">
        <v>9</v>
      </c>
      <c r="E2" s="5" t="s">
        <v>10</v>
      </c>
      <c r="F2" s="3" t="s">
        <v>11</v>
      </c>
      <c r="G2" s="3" t="s">
        <v>12</v>
      </c>
      <c r="H2" s="3" t="s">
        <v>13</v>
      </c>
      <c r="I2" s="3" t="s">
        <v>14</v>
      </c>
      <c r="J2" s="3" t="s">
        <v>13</v>
      </c>
      <c r="K2" s="3" t="s">
        <v>14</v>
      </c>
      <c r="L2" s="3" t="s">
        <v>13</v>
      </c>
      <c r="M2" s="3" t="s">
        <v>14</v>
      </c>
      <c r="N2" s="3" t="s">
        <v>13</v>
      </c>
      <c r="O2" s="3" t="s">
        <v>14</v>
      </c>
      <c r="P2" s="6" t="s">
        <v>15</v>
      </c>
      <c r="R2" s="7" t="s">
        <v>7</v>
      </c>
      <c r="S2" s="8" t="s">
        <v>16</v>
      </c>
      <c r="T2" s="8" t="s">
        <v>17</v>
      </c>
      <c r="U2" s="8" t="s">
        <v>18</v>
      </c>
      <c r="W2" s="6" t="s">
        <v>19</v>
      </c>
      <c r="X2" s="6" t="s">
        <v>20</v>
      </c>
      <c r="Z2" s="9" t="s">
        <v>21</v>
      </c>
      <c r="AA2" s="9" t="s">
        <v>22</v>
      </c>
      <c r="AB2" s="9" t="s">
        <v>23</v>
      </c>
      <c r="AC2" s="9" t="s">
        <v>24</v>
      </c>
      <c r="AD2" s="9" t="s">
        <v>25</v>
      </c>
      <c r="AE2" s="9" t="s">
        <v>26</v>
      </c>
    </row>
    <row r="3" ht="97.5" customHeight="1">
      <c r="A3" s="10" t="s">
        <v>27</v>
      </c>
      <c r="B3" s="10" t="s">
        <v>28</v>
      </c>
      <c r="C3" s="10" t="s">
        <v>29</v>
      </c>
      <c r="D3" s="3" t="s">
        <v>30</v>
      </c>
      <c r="E3" s="11" t="s">
        <v>31</v>
      </c>
      <c r="F3" s="12" t="s">
        <v>32</v>
      </c>
      <c r="G3" s="10" t="s">
        <v>33</v>
      </c>
      <c r="H3" s="13">
        <v>1.0</v>
      </c>
      <c r="I3" s="14">
        <v>1.0</v>
      </c>
      <c r="J3" s="13">
        <v>1.0</v>
      </c>
      <c r="K3" s="14">
        <v>1.0</v>
      </c>
      <c r="L3" s="13">
        <v>1.0</v>
      </c>
      <c r="M3" s="14">
        <v>1.0</v>
      </c>
      <c r="N3" s="13">
        <v>1.0</v>
      </c>
      <c r="O3" s="14">
        <v>1.0</v>
      </c>
      <c r="P3" s="15">
        <f t="shared" ref="P3:P152" si="5">1-((ABS(H3-I3))+(ABS(J3-K3))+(ABS(L3-M3))+(ABS(N3-O3)))/4</f>
        <v>1</v>
      </c>
      <c r="R3" s="16" t="s">
        <v>34</v>
      </c>
      <c r="S3" s="17">
        <f>AVERAGE(P3:P52)</f>
        <v>0.94</v>
      </c>
      <c r="T3" s="17">
        <f>AVERAGE(P53:P102)</f>
        <v>0.9675</v>
      </c>
      <c r="U3" s="17">
        <f>AVERAGE(P103:P152)</f>
        <v>0.93</v>
      </c>
      <c r="W3" s="18">
        <f t="shared" ref="W3:X3" si="1">(H3+J3+L3+N3)/4</f>
        <v>1</v>
      </c>
      <c r="X3" s="18">
        <f t="shared" si="1"/>
        <v>1</v>
      </c>
      <c r="Z3" s="19">
        <f t="shared" ref="Z3:AA3" si="2">AVERAGE(W3:W52)</f>
        <v>0.92</v>
      </c>
      <c r="AA3" s="19">
        <f t="shared" si="2"/>
        <v>0.97</v>
      </c>
      <c r="AB3" s="19">
        <f t="shared" ref="AB3:AC3" si="3">AVERAGE(W53:W102)</f>
        <v>0.9575</v>
      </c>
      <c r="AC3" s="19">
        <f t="shared" si="3"/>
        <v>0.95</v>
      </c>
      <c r="AD3" s="19">
        <f t="shared" ref="AD3:AE3" si="4">AVERAGE(W103:W152)</f>
        <v>0.915</v>
      </c>
      <c r="AE3" s="19">
        <f t="shared" si="4"/>
        <v>0.98</v>
      </c>
    </row>
    <row r="4" ht="97.5" customHeight="1">
      <c r="A4" s="10" t="s">
        <v>35</v>
      </c>
      <c r="B4" s="10" t="s">
        <v>28</v>
      </c>
      <c r="C4" s="10" t="s">
        <v>29</v>
      </c>
      <c r="D4" s="3" t="s">
        <v>36</v>
      </c>
      <c r="E4" s="11" t="s">
        <v>37</v>
      </c>
      <c r="F4" s="12" t="s">
        <v>38</v>
      </c>
      <c r="G4" s="10" t="s">
        <v>39</v>
      </c>
      <c r="H4" s="13">
        <v>1.0</v>
      </c>
      <c r="I4" s="14">
        <v>0.5</v>
      </c>
      <c r="J4" s="13">
        <v>1.0</v>
      </c>
      <c r="K4" s="14">
        <v>0.5</v>
      </c>
      <c r="L4" s="13">
        <v>0.0</v>
      </c>
      <c r="M4" s="14">
        <v>0.0</v>
      </c>
      <c r="N4" s="13">
        <v>0.5</v>
      </c>
      <c r="O4" s="14">
        <v>0.5</v>
      </c>
      <c r="P4" s="15">
        <f t="shared" si="5"/>
        <v>0.75</v>
      </c>
      <c r="R4" s="16" t="s">
        <v>40</v>
      </c>
      <c r="S4" s="20">
        <f>Claude!Q3</f>
        <v>0.805</v>
      </c>
      <c r="T4" s="20">
        <f>Claude!R3</f>
        <v>0.785</v>
      </c>
      <c r="U4" s="20">
        <f>Claude!S3</f>
        <v>0.9875</v>
      </c>
      <c r="W4" s="18">
        <f t="shared" ref="W4:X4" si="6">(H4+J4+L4+N4)/4</f>
        <v>0.625</v>
      </c>
      <c r="X4" s="18">
        <f t="shared" si="6"/>
        <v>0.375</v>
      </c>
      <c r="Z4" s="3"/>
    </row>
    <row r="5" ht="97.5" customHeight="1">
      <c r="A5" s="10" t="s">
        <v>41</v>
      </c>
      <c r="B5" s="10" t="s">
        <v>28</v>
      </c>
      <c r="C5" s="10" t="s">
        <v>29</v>
      </c>
      <c r="D5" s="3" t="s">
        <v>42</v>
      </c>
      <c r="E5" s="11" t="s">
        <v>43</v>
      </c>
      <c r="F5" s="12" t="s">
        <v>44</v>
      </c>
      <c r="G5" s="10" t="s">
        <v>33</v>
      </c>
      <c r="H5" s="13">
        <v>1.0</v>
      </c>
      <c r="I5" s="14">
        <v>1.0</v>
      </c>
      <c r="J5" s="13">
        <v>1.0</v>
      </c>
      <c r="K5" s="14">
        <v>1.0</v>
      </c>
      <c r="L5" s="13">
        <v>0.5</v>
      </c>
      <c r="M5" s="14">
        <v>1.0</v>
      </c>
      <c r="N5" s="13">
        <v>1.0</v>
      </c>
      <c r="O5" s="14">
        <v>1.0</v>
      </c>
      <c r="P5" s="15">
        <f t="shared" si="5"/>
        <v>0.875</v>
      </c>
      <c r="R5" s="16" t="s">
        <v>45</v>
      </c>
      <c r="S5" s="21">
        <f>Gemini!Q3</f>
        <v>0.9</v>
      </c>
      <c r="T5" s="21">
        <f>Gemini!R3</f>
        <v>0.9875</v>
      </c>
      <c r="U5" s="21">
        <f>Gemini!S3</f>
        <v>0.965</v>
      </c>
      <c r="W5" s="18">
        <f t="shared" ref="W5:X5" si="7">(H5+J5+L5+N5)/4</f>
        <v>0.875</v>
      </c>
      <c r="X5" s="18">
        <f t="shared" si="7"/>
        <v>1</v>
      </c>
    </row>
    <row r="6" ht="97.5" customHeight="1">
      <c r="A6" s="10" t="s">
        <v>46</v>
      </c>
      <c r="B6" s="10" t="s">
        <v>28</v>
      </c>
      <c r="C6" s="10" t="s">
        <v>29</v>
      </c>
      <c r="D6" s="3" t="s">
        <v>47</v>
      </c>
      <c r="E6" s="11" t="s">
        <v>48</v>
      </c>
      <c r="F6" s="12" t="s">
        <v>49</v>
      </c>
      <c r="G6" s="10" t="s">
        <v>33</v>
      </c>
      <c r="H6" s="13">
        <v>1.0</v>
      </c>
      <c r="I6" s="14">
        <v>1.0</v>
      </c>
      <c r="J6" s="13">
        <v>1.0</v>
      </c>
      <c r="K6" s="14">
        <v>1.0</v>
      </c>
      <c r="L6" s="13">
        <v>1.0</v>
      </c>
      <c r="M6" s="14">
        <v>1.0</v>
      </c>
      <c r="N6" s="13">
        <v>1.0</v>
      </c>
      <c r="O6" s="14">
        <v>1.0</v>
      </c>
      <c r="P6" s="15">
        <f t="shared" si="5"/>
        <v>1</v>
      </c>
      <c r="W6" s="18">
        <f t="shared" ref="W6:X6" si="8">(H6+J6+L6+N6)/4</f>
        <v>1</v>
      </c>
      <c r="X6" s="18">
        <f t="shared" si="8"/>
        <v>1</v>
      </c>
    </row>
    <row r="7" ht="92.25" customHeight="1">
      <c r="A7" s="12" t="s">
        <v>50</v>
      </c>
      <c r="B7" s="12" t="s">
        <v>28</v>
      </c>
      <c r="C7" s="12" t="s">
        <v>29</v>
      </c>
      <c r="D7" s="12" t="s">
        <v>51</v>
      </c>
      <c r="E7" s="11" t="s">
        <v>52</v>
      </c>
      <c r="F7" s="12" t="s">
        <v>53</v>
      </c>
      <c r="G7" s="10" t="s">
        <v>33</v>
      </c>
      <c r="H7" s="13">
        <v>1.0</v>
      </c>
      <c r="I7" s="14">
        <v>1.0</v>
      </c>
      <c r="J7" s="13">
        <v>1.0</v>
      </c>
      <c r="K7" s="14">
        <v>1.0</v>
      </c>
      <c r="L7" s="13">
        <v>1.0</v>
      </c>
      <c r="M7" s="14">
        <v>1.0</v>
      </c>
      <c r="N7" s="13">
        <v>1.0</v>
      </c>
      <c r="O7" s="14">
        <v>1.0</v>
      </c>
      <c r="P7" s="15">
        <f t="shared" si="5"/>
        <v>1</v>
      </c>
      <c r="W7" s="18">
        <f t="shared" ref="W7:X7" si="9">(H7+J7+L7+N7)/4</f>
        <v>1</v>
      </c>
      <c r="X7" s="18">
        <f t="shared" si="9"/>
        <v>1</v>
      </c>
    </row>
    <row r="8">
      <c r="A8" s="12" t="s">
        <v>54</v>
      </c>
      <c r="B8" s="12" t="s">
        <v>28</v>
      </c>
      <c r="C8" s="12" t="s">
        <v>29</v>
      </c>
      <c r="D8" s="12" t="s">
        <v>55</v>
      </c>
      <c r="E8" s="11" t="s">
        <v>56</v>
      </c>
      <c r="F8" s="12" t="s">
        <v>57</v>
      </c>
      <c r="G8" s="10" t="s">
        <v>33</v>
      </c>
      <c r="H8" s="13">
        <v>1.0</v>
      </c>
      <c r="I8" s="14">
        <v>1.0</v>
      </c>
      <c r="J8" s="13">
        <v>1.0</v>
      </c>
      <c r="K8" s="14">
        <v>1.0</v>
      </c>
      <c r="L8" s="13">
        <v>1.0</v>
      </c>
      <c r="M8" s="14">
        <v>1.0</v>
      </c>
      <c r="N8" s="13">
        <v>1.0</v>
      </c>
      <c r="O8" s="14">
        <v>1.0</v>
      </c>
      <c r="P8" s="15">
        <f t="shared" si="5"/>
        <v>1</v>
      </c>
      <c r="W8" s="18">
        <f t="shared" ref="W8:X8" si="10">(H8+J8+L8+N8)/4</f>
        <v>1</v>
      </c>
      <c r="X8" s="18">
        <f t="shared" si="10"/>
        <v>1</v>
      </c>
    </row>
    <row r="9" ht="103.5" customHeight="1">
      <c r="A9" s="12" t="s">
        <v>58</v>
      </c>
      <c r="B9" s="12" t="s">
        <v>28</v>
      </c>
      <c r="C9" s="12" t="s">
        <v>29</v>
      </c>
      <c r="D9" s="12" t="s">
        <v>59</v>
      </c>
      <c r="E9" s="11" t="s">
        <v>60</v>
      </c>
      <c r="F9" s="12" t="s">
        <v>61</v>
      </c>
      <c r="G9" s="10" t="s">
        <v>33</v>
      </c>
      <c r="H9" s="13">
        <v>1.0</v>
      </c>
      <c r="I9" s="14">
        <v>1.0</v>
      </c>
      <c r="J9" s="13">
        <v>1.0</v>
      </c>
      <c r="K9" s="14">
        <v>1.0</v>
      </c>
      <c r="L9" s="13">
        <v>1.0</v>
      </c>
      <c r="M9" s="14">
        <v>1.0</v>
      </c>
      <c r="N9" s="13">
        <v>1.0</v>
      </c>
      <c r="O9" s="14">
        <v>1.0</v>
      </c>
      <c r="P9" s="15">
        <f t="shared" si="5"/>
        <v>1</v>
      </c>
      <c r="W9" s="18">
        <f t="shared" ref="W9:X9" si="11">(H9+J9+L9+N9)/4</f>
        <v>1</v>
      </c>
      <c r="X9" s="18">
        <f t="shared" si="11"/>
        <v>1</v>
      </c>
    </row>
    <row r="10">
      <c r="A10" s="12" t="s">
        <v>62</v>
      </c>
      <c r="B10" s="12" t="s">
        <v>28</v>
      </c>
      <c r="C10" s="12" t="s">
        <v>29</v>
      </c>
      <c r="D10" s="12" t="s">
        <v>63</v>
      </c>
      <c r="E10" s="11" t="s">
        <v>64</v>
      </c>
      <c r="F10" s="12" t="s">
        <v>65</v>
      </c>
      <c r="G10" s="10" t="s">
        <v>33</v>
      </c>
      <c r="H10" s="13">
        <v>1.0</v>
      </c>
      <c r="I10" s="14">
        <v>1.0</v>
      </c>
      <c r="J10" s="13">
        <v>1.0</v>
      </c>
      <c r="K10" s="14">
        <v>1.0</v>
      </c>
      <c r="L10" s="13">
        <v>1.0</v>
      </c>
      <c r="M10" s="14">
        <v>1.0</v>
      </c>
      <c r="N10" s="13">
        <v>1.0</v>
      </c>
      <c r="O10" s="14">
        <v>1.0</v>
      </c>
      <c r="P10" s="15">
        <f t="shared" si="5"/>
        <v>1</v>
      </c>
      <c r="R10" s="3" t="s">
        <v>66</v>
      </c>
      <c r="S10" s="3" t="s">
        <v>66</v>
      </c>
      <c r="T10" s="3" t="s">
        <v>66</v>
      </c>
      <c r="W10" s="18">
        <f t="shared" ref="W10:X10" si="12">(H10+J10+L10+N10)/4</f>
        <v>1</v>
      </c>
      <c r="X10" s="18">
        <f t="shared" si="12"/>
        <v>1</v>
      </c>
    </row>
    <row r="11">
      <c r="A11" s="12" t="s">
        <v>67</v>
      </c>
      <c r="B11" s="12" t="s">
        <v>28</v>
      </c>
      <c r="C11" s="12" t="s">
        <v>29</v>
      </c>
      <c r="D11" s="12" t="s">
        <v>68</v>
      </c>
      <c r="E11" s="11" t="s">
        <v>69</v>
      </c>
      <c r="F11" s="12" t="s">
        <v>70</v>
      </c>
      <c r="G11" s="10" t="s">
        <v>33</v>
      </c>
      <c r="H11" s="13">
        <v>1.0</v>
      </c>
      <c r="I11" s="14">
        <v>1.0</v>
      </c>
      <c r="J11" s="13">
        <v>1.0</v>
      </c>
      <c r="K11" s="14">
        <v>1.0</v>
      </c>
      <c r="L11" s="13">
        <v>1.0</v>
      </c>
      <c r="M11" s="14">
        <v>1.0</v>
      </c>
      <c r="N11" s="13">
        <v>1.0</v>
      </c>
      <c r="O11" s="14">
        <v>1.0</v>
      </c>
      <c r="P11" s="15">
        <f t="shared" si="5"/>
        <v>1</v>
      </c>
      <c r="R11" s="3" t="s">
        <v>66</v>
      </c>
      <c r="S11" s="3" t="s">
        <v>66</v>
      </c>
      <c r="T11" s="3" t="s">
        <v>66</v>
      </c>
      <c r="W11" s="18">
        <f t="shared" ref="W11:X11" si="13">(H11+J11+L11+N11)/4</f>
        <v>1</v>
      </c>
      <c r="X11" s="18">
        <f t="shared" si="13"/>
        <v>1</v>
      </c>
    </row>
    <row r="12">
      <c r="A12" s="12" t="s">
        <v>71</v>
      </c>
      <c r="B12" s="12" t="s">
        <v>28</v>
      </c>
      <c r="C12" s="12" t="s">
        <v>29</v>
      </c>
      <c r="D12" s="12" t="s">
        <v>72</v>
      </c>
      <c r="E12" s="11" t="s">
        <v>73</v>
      </c>
      <c r="F12" s="12" t="s">
        <v>74</v>
      </c>
      <c r="G12" s="10" t="s">
        <v>33</v>
      </c>
      <c r="H12" s="13">
        <v>1.0</v>
      </c>
      <c r="I12" s="14">
        <v>1.0</v>
      </c>
      <c r="J12" s="13">
        <v>1.0</v>
      </c>
      <c r="K12" s="14">
        <v>1.0</v>
      </c>
      <c r="L12" s="13">
        <v>1.0</v>
      </c>
      <c r="M12" s="14">
        <v>1.0</v>
      </c>
      <c r="N12" s="13">
        <v>1.0</v>
      </c>
      <c r="O12" s="14">
        <v>1.0</v>
      </c>
      <c r="P12" s="15">
        <f t="shared" si="5"/>
        <v>1</v>
      </c>
      <c r="R12" s="3" t="s">
        <v>66</v>
      </c>
      <c r="S12" s="3" t="s">
        <v>66</v>
      </c>
      <c r="T12" s="3" t="s">
        <v>66</v>
      </c>
      <c r="W12" s="18">
        <f t="shared" ref="W12:X12" si="14">(H12+J12+L12+N12)/4</f>
        <v>1</v>
      </c>
      <c r="X12" s="18">
        <f t="shared" si="14"/>
        <v>1</v>
      </c>
    </row>
    <row r="13" ht="90.75" customHeight="1">
      <c r="A13" s="12" t="s">
        <v>75</v>
      </c>
      <c r="B13" s="12" t="s">
        <v>28</v>
      </c>
      <c r="C13" s="12" t="s">
        <v>29</v>
      </c>
      <c r="D13" s="12" t="s">
        <v>76</v>
      </c>
      <c r="E13" s="11" t="s">
        <v>77</v>
      </c>
      <c r="F13" s="12" t="s">
        <v>78</v>
      </c>
      <c r="G13" s="10" t="s">
        <v>33</v>
      </c>
      <c r="H13" s="13">
        <v>1.0</v>
      </c>
      <c r="I13" s="14">
        <v>1.0</v>
      </c>
      <c r="J13" s="13">
        <v>0.5</v>
      </c>
      <c r="K13" s="14">
        <v>1.0</v>
      </c>
      <c r="L13" s="13">
        <v>1.0</v>
      </c>
      <c r="M13" s="14">
        <v>1.0</v>
      </c>
      <c r="N13" s="13">
        <v>1.0</v>
      </c>
      <c r="O13" s="14">
        <v>1.0</v>
      </c>
      <c r="P13" s="15">
        <f t="shared" si="5"/>
        <v>0.875</v>
      </c>
      <c r="R13" s="3" t="s">
        <v>66</v>
      </c>
      <c r="S13" s="3" t="s">
        <v>66</v>
      </c>
      <c r="T13" s="3" t="s">
        <v>66</v>
      </c>
      <c r="W13" s="18">
        <f t="shared" ref="W13:X13" si="15">(H13+J13+L13+N13)/4</f>
        <v>0.875</v>
      </c>
      <c r="X13" s="18">
        <f t="shared" si="15"/>
        <v>1</v>
      </c>
    </row>
    <row r="14">
      <c r="A14" s="12" t="s">
        <v>79</v>
      </c>
      <c r="B14" s="12" t="s">
        <v>28</v>
      </c>
      <c r="C14" s="12" t="s">
        <v>29</v>
      </c>
      <c r="D14" s="12" t="s">
        <v>80</v>
      </c>
      <c r="E14" s="11" t="s">
        <v>81</v>
      </c>
      <c r="F14" s="12" t="s">
        <v>82</v>
      </c>
      <c r="G14" s="10" t="s">
        <v>39</v>
      </c>
      <c r="H14" s="13">
        <v>1.0</v>
      </c>
      <c r="I14" s="14">
        <v>1.0</v>
      </c>
      <c r="J14" s="13">
        <v>1.0</v>
      </c>
      <c r="K14" s="14">
        <v>1.0</v>
      </c>
      <c r="L14" s="13">
        <v>0.0</v>
      </c>
      <c r="M14" s="14">
        <v>0.0</v>
      </c>
      <c r="N14" s="13">
        <v>1.0</v>
      </c>
      <c r="O14" s="14">
        <v>1.0</v>
      </c>
      <c r="P14" s="15">
        <f t="shared" si="5"/>
        <v>1</v>
      </c>
      <c r="R14" s="3" t="s">
        <v>66</v>
      </c>
      <c r="S14" s="3" t="s">
        <v>66</v>
      </c>
      <c r="T14" s="3" t="s">
        <v>66</v>
      </c>
      <c r="W14" s="18">
        <f t="shared" ref="W14:X14" si="16">(H14+J14+L14+N14)/4</f>
        <v>0.75</v>
      </c>
      <c r="X14" s="18">
        <f t="shared" si="16"/>
        <v>0.75</v>
      </c>
    </row>
    <row r="15">
      <c r="A15" s="12" t="s">
        <v>83</v>
      </c>
      <c r="B15" s="12" t="s">
        <v>28</v>
      </c>
      <c r="C15" s="12" t="s">
        <v>29</v>
      </c>
      <c r="D15" s="12" t="s">
        <v>84</v>
      </c>
      <c r="E15" s="11" t="s">
        <v>85</v>
      </c>
      <c r="F15" s="12" t="s">
        <v>86</v>
      </c>
      <c r="G15" s="10" t="s">
        <v>33</v>
      </c>
      <c r="H15" s="13">
        <v>1.0</v>
      </c>
      <c r="I15" s="14">
        <v>1.0</v>
      </c>
      <c r="J15" s="13">
        <v>1.0</v>
      </c>
      <c r="K15" s="14">
        <v>1.0</v>
      </c>
      <c r="L15" s="13">
        <v>1.0</v>
      </c>
      <c r="M15" s="14">
        <v>1.0</v>
      </c>
      <c r="N15" s="13">
        <v>1.0</v>
      </c>
      <c r="O15" s="14">
        <v>1.0</v>
      </c>
      <c r="P15" s="15">
        <f t="shared" si="5"/>
        <v>1</v>
      </c>
      <c r="R15" s="3" t="s">
        <v>66</v>
      </c>
      <c r="S15" s="3" t="s">
        <v>66</v>
      </c>
      <c r="T15" s="3" t="s">
        <v>66</v>
      </c>
      <c r="W15" s="18">
        <f t="shared" ref="W15:X15" si="17">(H15+J15+L15+N15)/4</f>
        <v>1</v>
      </c>
      <c r="X15" s="18">
        <f t="shared" si="17"/>
        <v>1</v>
      </c>
    </row>
    <row r="16">
      <c r="A16" s="12" t="s">
        <v>87</v>
      </c>
      <c r="B16" s="12" t="s">
        <v>28</v>
      </c>
      <c r="C16" s="12" t="s">
        <v>29</v>
      </c>
      <c r="D16" s="12" t="s">
        <v>88</v>
      </c>
      <c r="E16" s="11" t="s">
        <v>89</v>
      </c>
      <c r="F16" s="12" t="s">
        <v>90</v>
      </c>
      <c r="G16" s="10" t="s">
        <v>33</v>
      </c>
      <c r="H16" s="13">
        <v>1.0</v>
      </c>
      <c r="I16" s="14">
        <v>1.0</v>
      </c>
      <c r="J16" s="13">
        <v>1.0</v>
      </c>
      <c r="K16" s="14">
        <v>1.0</v>
      </c>
      <c r="L16" s="13">
        <v>1.0</v>
      </c>
      <c r="M16" s="14">
        <v>1.0</v>
      </c>
      <c r="N16" s="13">
        <v>1.0</v>
      </c>
      <c r="O16" s="14">
        <v>1.0</v>
      </c>
      <c r="P16" s="15">
        <f t="shared" si="5"/>
        <v>1</v>
      </c>
      <c r="R16" s="3" t="s">
        <v>66</v>
      </c>
      <c r="S16" s="3" t="s">
        <v>66</v>
      </c>
      <c r="T16" s="3" t="s">
        <v>66</v>
      </c>
      <c r="W16" s="18">
        <f t="shared" ref="W16:X16" si="18">(H16+J16+L16+N16)/4</f>
        <v>1</v>
      </c>
      <c r="X16" s="18">
        <f t="shared" si="18"/>
        <v>1</v>
      </c>
    </row>
    <row r="17">
      <c r="A17" s="12" t="s">
        <v>91</v>
      </c>
      <c r="B17" s="12" t="s">
        <v>28</v>
      </c>
      <c r="C17" s="12" t="s">
        <v>29</v>
      </c>
      <c r="D17" s="12" t="s">
        <v>92</v>
      </c>
      <c r="E17" s="11" t="s">
        <v>93</v>
      </c>
      <c r="F17" s="12" t="s">
        <v>94</v>
      </c>
      <c r="G17" s="10" t="s">
        <v>33</v>
      </c>
      <c r="H17" s="13">
        <v>1.0</v>
      </c>
      <c r="I17" s="14">
        <v>1.0</v>
      </c>
      <c r="J17" s="13">
        <v>0.5</v>
      </c>
      <c r="K17" s="14">
        <v>1.0</v>
      </c>
      <c r="L17" s="13">
        <v>1.0</v>
      </c>
      <c r="M17" s="14">
        <v>1.0</v>
      </c>
      <c r="N17" s="13">
        <v>1.0</v>
      </c>
      <c r="O17" s="14">
        <v>1.0</v>
      </c>
      <c r="P17" s="15">
        <f t="shared" si="5"/>
        <v>0.875</v>
      </c>
      <c r="R17" s="3" t="s">
        <v>66</v>
      </c>
      <c r="S17" s="3" t="s">
        <v>66</v>
      </c>
      <c r="T17" s="3" t="s">
        <v>66</v>
      </c>
      <c r="W17" s="18">
        <f t="shared" ref="W17:X17" si="19">(H17+J17+L17+N17)/4</f>
        <v>0.875</v>
      </c>
      <c r="X17" s="18">
        <f t="shared" si="19"/>
        <v>1</v>
      </c>
    </row>
    <row r="18">
      <c r="A18" s="12" t="s">
        <v>95</v>
      </c>
      <c r="B18" s="12" t="s">
        <v>28</v>
      </c>
      <c r="C18" s="12" t="s">
        <v>29</v>
      </c>
      <c r="D18" s="12" t="s">
        <v>96</v>
      </c>
      <c r="E18" s="11" t="s">
        <v>97</v>
      </c>
      <c r="F18" s="12" t="s">
        <v>98</v>
      </c>
      <c r="G18" s="10" t="s">
        <v>33</v>
      </c>
      <c r="H18" s="13">
        <v>1.0</v>
      </c>
      <c r="I18" s="14">
        <v>1.0</v>
      </c>
      <c r="J18" s="13">
        <v>1.0</v>
      </c>
      <c r="K18" s="14">
        <v>1.0</v>
      </c>
      <c r="L18" s="13">
        <v>1.0</v>
      </c>
      <c r="M18" s="14">
        <v>1.0</v>
      </c>
      <c r="N18" s="13">
        <v>1.0</v>
      </c>
      <c r="O18" s="14">
        <v>1.0</v>
      </c>
      <c r="P18" s="15">
        <f t="shared" si="5"/>
        <v>1</v>
      </c>
      <c r="R18" s="3" t="s">
        <v>66</v>
      </c>
      <c r="S18" s="3" t="s">
        <v>66</v>
      </c>
      <c r="T18" s="3" t="s">
        <v>66</v>
      </c>
      <c r="W18" s="18">
        <f t="shared" ref="W18:X18" si="20">(H18+J18+L18+N18)/4</f>
        <v>1</v>
      </c>
      <c r="X18" s="18">
        <f t="shared" si="20"/>
        <v>1</v>
      </c>
    </row>
    <row r="19">
      <c r="A19" s="12" t="s">
        <v>99</v>
      </c>
      <c r="B19" s="12" t="s">
        <v>28</v>
      </c>
      <c r="C19" s="12" t="s">
        <v>29</v>
      </c>
      <c r="D19" s="12" t="s">
        <v>100</v>
      </c>
      <c r="E19" s="11" t="s">
        <v>101</v>
      </c>
      <c r="F19" s="12" t="s">
        <v>102</v>
      </c>
      <c r="G19" s="10" t="s">
        <v>33</v>
      </c>
      <c r="H19" s="13">
        <v>1.0</v>
      </c>
      <c r="I19" s="14">
        <v>1.0</v>
      </c>
      <c r="J19" s="13">
        <v>0.5</v>
      </c>
      <c r="K19" s="14">
        <v>1.0</v>
      </c>
      <c r="L19" s="13">
        <v>1.0</v>
      </c>
      <c r="M19" s="14">
        <v>1.0</v>
      </c>
      <c r="N19" s="13">
        <v>1.0</v>
      </c>
      <c r="O19" s="14">
        <v>1.0</v>
      </c>
      <c r="P19" s="15">
        <f t="shared" si="5"/>
        <v>0.875</v>
      </c>
      <c r="R19" s="3" t="s">
        <v>66</v>
      </c>
      <c r="S19" s="3" t="s">
        <v>66</v>
      </c>
      <c r="T19" s="3" t="s">
        <v>66</v>
      </c>
      <c r="W19" s="18">
        <f t="shared" ref="W19:X19" si="21">(H19+J19+L19+N19)/4</f>
        <v>0.875</v>
      </c>
      <c r="X19" s="18">
        <f t="shared" si="21"/>
        <v>1</v>
      </c>
    </row>
    <row r="20">
      <c r="A20" s="12" t="s">
        <v>103</v>
      </c>
      <c r="B20" s="12" t="s">
        <v>28</v>
      </c>
      <c r="C20" s="12" t="s">
        <v>29</v>
      </c>
      <c r="D20" s="12" t="s">
        <v>104</v>
      </c>
      <c r="E20" s="11" t="s">
        <v>105</v>
      </c>
      <c r="F20" s="12" t="s">
        <v>106</v>
      </c>
      <c r="G20" s="10" t="s">
        <v>33</v>
      </c>
      <c r="H20" s="13">
        <v>1.0</v>
      </c>
      <c r="I20" s="14">
        <v>1.0</v>
      </c>
      <c r="J20" s="13">
        <v>1.0</v>
      </c>
      <c r="K20" s="14">
        <v>1.0</v>
      </c>
      <c r="L20" s="13">
        <v>1.0</v>
      </c>
      <c r="M20" s="14">
        <v>1.0</v>
      </c>
      <c r="N20" s="13">
        <v>1.0</v>
      </c>
      <c r="O20" s="14">
        <v>1.0</v>
      </c>
      <c r="P20" s="15">
        <f t="shared" si="5"/>
        <v>1</v>
      </c>
      <c r="R20" s="3" t="s">
        <v>66</v>
      </c>
      <c r="S20" s="3" t="s">
        <v>66</v>
      </c>
      <c r="T20" s="3" t="s">
        <v>66</v>
      </c>
      <c r="W20" s="18">
        <f t="shared" ref="W20:X20" si="22">(H20+J20+L20+N20)/4</f>
        <v>1</v>
      </c>
      <c r="X20" s="18">
        <f t="shared" si="22"/>
        <v>1</v>
      </c>
    </row>
    <row r="21">
      <c r="A21" s="12" t="s">
        <v>107</v>
      </c>
      <c r="B21" s="12" t="s">
        <v>28</v>
      </c>
      <c r="C21" s="12" t="s">
        <v>29</v>
      </c>
      <c r="D21" s="12" t="s">
        <v>108</v>
      </c>
      <c r="E21" s="11" t="s">
        <v>109</v>
      </c>
      <c r="F21" s="12" t="s">
        <v>110</v>
      </c>
      <c r="G21" s="10" t="s">
        <v>33</v>
      </c>
      <c r="H21" s="13">
        <v>1.0</v>
      </c>
      <c r="I21" s="14">
        <v>1.0</v>
      </c>
      <c r="J21" s="13">
        <v>1.0</v>
      </c>
      <c r="K21" s="14">
        <v>1.0</v>
      </c>
      <c r="L21" s="13">
        <v>0.5</v>
      </c>
      <c r="M21" s="14">
        <v>1.0</v>
      </c>
      <c r="N21" s="13">
        <v>1.0</v>
      </c>
      <c r="O21" s="14">
        <v>1.0</v>
      </c>
      <c r="P21" s="15">
        <f t="shared" si="5"/>
        <v>0.875</v>
      </c>
      <c r="R21" s="3" t="s">
        <v>66</v>
      </c>
      <c r="S21" s="3" t="s">
        <v>66</v>
      </c>
      <c r="T21" s="3" t="s">
        <v>66</v>
      </c>
      <c r="W21" s="18">
        <f t="shared" ref="W21:X21" si="23">(H21+J21+L21+N21)/4</f>
        <v>0.875</v>
      </c>
      <c r="X21" s="18">
        <f t="shared" si="23"/>
        <v>1</v>
      </c>
    </row>
    <row r="22">
      <c r="A22" s="12" t="s">
        <v>111</v>
      </c>
      <c r="B22" s="12" t="s">
        <v>28</v>
      </c>
      <c r="C22" s="12" t="s">
        <v>29</v>
      </c>
      <c r="D22" s="12" t="s">
        <v>112</v>
      </c>
      <c r="E22" s="11" t="s">
        <v>113</v>
      </c>
      <c r="F22" s="12" t="s">
        <v>114</v>
      </c>
      <c r="G22" s="10" t="s">
        <v>33</v>
      </c>
      <c r="H22" s="13">
        <v>1.0</v>
      </c>
      <c r="I22" s="14">
        <v>1.0</v>
      </c>
      <c r="J22" s="13">
        <v>1.0</v>
      </c>
      <c r="K22" s="14">
        <v>1.0</v>
      </c>
      <c r="L22" s="13">
        <v>1.0</v>
      </c>
      <c r="M22" s="14">
        <v>1.0</v>
      </c>
      <c r="N22" s="13">
        <v>1.0</v>
      </c>
      <c r="O22" s="14">
        <v>1.0</v>
      </c>
      <c r="P22" s="15">
        <f t="shared" si="5"/>
        <v>1</v>
      </c>
      <c r="R22" s="3" t="s">
        <v>66</v>
      </c>
      <c r="S22" s="3" t="s">
        <v>66</v>
      </c>
      <c r="T22" s="3" t="s">
        <v>66</v>
      </c>
      <c r="W22" s="18">
        <f t="shared" ref="W22:X22" si="24">(H22+J22+L22+N22)/4</f>
        <v>1</v>
      </c>
      <c r="X22" s="18">
        <f t="shared" si="24"/>
        <v>1</v>
      </c>
    </row>
    <row r="23">
      <c r="A23" s="12" t="s">
        <v>115</v>
      </c>
      <c r="B23" s="12" t="s">
        <v>28</v>
      </c>
      <c r="C23" s="12" t="s">
        <v>29</v>
      </c>
      <c r="D23" s="12" t="s">
        <v>116</v>
      </c>
      <c r="E23" s="11" t="s">
        <v>117</v>
      </c>
      <c r="F23" s="12" t="s">
        <v>118</v>
      </c>
      <c r="G23" s="10" t="s">
        <v>33</v>
      </c>
      <c r="H23" s="13">
        <v>1.0</v>
      </c>
      <c r="I23" s="14">
        <v>1.0</v>
      </c>
      <c r="J23" s="13">
        <v>1.0</v>
      </c>
      <c r="K23" s="14">
        <v>1.0</v>
      </c>
      <c r="L23" s="13">
        <v>0.5</v>
      </c>
      <c r="M23" s="14">
        <v>1.0</v>
      </c>
      <c r="N23" s="13">
        <v>1.0</v>
      </c>
      <c r="O23" s="14">
        <v>1.0</v>
      </c>
      <c r="P23" s="15">
        <f t="shared" si="5"/>
        <v>0.875</v>
      </c>
      <c r="R23" s="3" t="s">
        <v>66</v>
      </c>
      <c r="S23" s="3" t="s">
        <v>66</v>
      </c>
      <c r="T23" s="3" t="s">
        <v>66</v>
      </c>
      <c r="W23" s="18">
        <f t="shared" ref="W23:X23" si="25">(H23+J23+L23+N23)/4</f>
        <v>0.875</v>
      </c>
      <c r="X23" s="18">
        <f t="shared" si="25"/>
        <v>1</v>
      </c>
    </row>
    <row r="24">
      <c r="A24" s="12" t="s">
        <v>119</v>
      </c>
      <c r="B24" s="12" t="s">
        <v>28</v>
      </c>
      <c r="C24" s="12" t="s">
        <v>29</v>
      </c>
      <c r="D24" s="12" t="s">
        <v>120</v>
      </c>
      <c r="E24" s="11" t="s">
        <v>121</v>
      </c>
      <c r="F24" s="12" t="s">
        <v>122</v>
      </c>
      <c r="G24" s="10" t="s">
        <v>33</v>
      </c>
      <c r="H24" s="13">
        <v>1.0</v>
      </c>
      <c r="I24" s="14">
        <v>1.0</v>
      </c>
      <c r="J24" s="13">
        <v>1.0</v>
      </c>
      <c r="K24" s="14">
        <v>1.0</v>
      </c>
      <c r="L24" s="13">
        <v>1.0</v>
      </c>
      <c r="M24" s="14">
        <v>1.0</v>
      </c>
      <c r="N24" s="13">
        <v>1.0</v>
      </c>
      <c r="O24" s="14">
        <v>1.0</v>
      </c>
      <c r="P24" s="15">
        <f t="shared" si="5"/>
        <v>1</v>
      </c>
      <c r="R24" s="3" t="s">
        <v>66</v>
      </c>
      <c r="S24" s="3" t="s">
        <v>66</v>
      </c>
      <c r="T24" s="3" t="s">
        <v>66</v>
      </c>
      <c r="W24" s="18">
        <f t="shared" ref="W24:X24" si="26">(H24+J24+L24+N24)/4</f>
        <v>1</v>
      </c>
      <c r="X24" s="18">
        <f t="shared" si="26"/>
        <v>1</v>
      </c>
    </row>
    <row r="25">
      <c r="A25" s="12" t="s">
        <v>123</v>
      </c>
      <c r="B25" s="12" t="s">
        <v>28</v>
      </c>
      <c r="C25" s="12" t="s">
        <v>29</v>
      </c>
      <c r="D25" s="12" t="s">
        <v>124</v>
      </c>
      <c r="E25" s="11" t="s">
        <v>125</v>
      </c>
      <c r="F25" s="12" t="s">
        <v>126</v>
      </c>
      <c r="G25" s="10" t="s">
        <v>33</v>
      </c>
      <c r="H25" s="13">
        <v>1.0</v>
      </c>
      <c r="I25" s="14">
        <v>1.0</v>
      </c>
      <c r="J25" s="13">
        <v>1.0</v>
      </c>
      <c r="K25" s="14">
        <v>1.0</v>
      </c>
      <c r="L25" s="13">
        <v>0.5</v>
      </c>
      <c r="M25" s="14">
        <v>1.0</v>
      </c>
      <c r="N25" s="13">
        <v>1.0</v>
      </c>
      <c r="O25" s="14">
        <v>1.0</v>
      </c>
      <c r="P25" s="15">
        <f t="shared" si="5"/>
        <v>0.875</v>
      </c>
      <c r="R25" s="3" t="s">
        <v>66</v>
      </c>
      <c r="S25" s="3" t="s">
        <v>66</v>
      </c>
      <c r="T25" s="3" t="s">
        <v>66</v>
      </c>
      <c r="W25" s="18">
        <f t="shared" ref="W25:X25" si="27">(H25+J25+L25+N25)/4</f>
        <v>0.875</v>
      </c>
      <c r="X25" s="18">
        <f t="shared" si="27"/>
        <v>1</v>
      </c>
    </row>
    <row r="26">
      <c r="A26" s="12" t="s">
        <v>127</v>
      </c>
      <c r="B26" s="12" t="s">
        <v>28</v>
      </c>
      <c r="C26" s="12" t="s">
        <v>29</v>
      </c>
      <c r="D26" s="12" t="s">
        <v>128</v>
      </c>
      <c r="E26" s="11" t="s">
        <v>129</v>
      </c>
      <c r="F26" s="12" t="s">
        <v>130</v>
      </c>
      <c r="G26" s="10" t="s">
        <v>33</v>
      </c>
      <c r="H26" s="13">
        <v>1.0</v>
      </c>
      <c r="I26" s="14">
        <v>1.0</v>
      </c>
      <c r="J26" s="13">
        <v>1.0</v>
      </c>
      <c r="K26" s="14">
        <v>1.0</v>
      </c>
      <c r="L26" s="13">
        <v>1.0</v>
      </c>
      <c r="M26" s="14">
        <v>1.0</v>
      </c>
      <c r="N26" s="13">
        <v>1.0</v>
      </c>
      <c r="O26" s="14">
        <v>1.0</v>
      </c>
      <c r="P26" s="15">
        <f t="shared" si="5"/>
        <v>1</v>
      </c>
      <c r="R26" s="3" t="s">
        <v>66</v>
      </c>
      <c r="S26" s="3" t="s">
        <v>66</v>
      </c>
      <c r="T26" s="3" t="s">
        <v>66</v>
      </c>
      <c r="W26" s="18">
        <f t="shared" ref="W26:X26" si="28">(H26+J26+L26+N26)/4</f>
        <v>1</v>
      </c>
      <c r="X26" s="18">
        <f t="shared" si="28"/>
        <v>1</v>
      </c>
    </row>
    <row r="27">
      <c r="A27" s="12" t="s">
        <v>131</v>
      </c>
      <c r="B27" s="12" t="s">
        <v>28</v>
      </c>
      <c r="C27" s="12" t="s">
        <v>29</v>
      </c>
      <c r="D27" s="12" t="s">
        <v>132</v>
      </c>
      <c r="E27" s="11" t="s">
        <v>133</v>
      </c>
      <c r="F27" s="12" t="s">
        <v>134</v>
      </c>
      <c r="G27" s="10" t="s">
        <v>33</v>
      </c>
      <c r="H27" s="13">
        <v>1.0</v>
      </c>
      <c r="I27" s="14">
        <v>1.0</v>
      </c>
      <c r="J27" s="13">
        <v>1.0</v>
      </c>
      <c r="K27" s="14">
        <v>1.0</v>
      </c>
      <c r="L27" s="13">
        <v>1.0</v>
      </c>
      <c r="M27" s="14">
        <v>1.0</v>
      </c>
      <c r="N27" s="13">
        <v>1.0</v>
      </c>
      <c r="O27" s="14">
        <v>1.0</v>
      </c>
      <c r="P27" s="15">
        <f t="shared" si="5"/>
        <v>1</v>
      </c>
      <c r="R27" s="3" t="s">
        <v>66</v>
      </c>
      <c r="S27" s="3" t="s">
        <v>66</v>
      </c>
      <c r="T27" s="3" t="s">
        <v>66</v>
      </c>
      <c r="W27" s="18">
        <f t="shared" ref="W27:X27" si="29">(H27+J27+L27+N27)/4</f>
        <v>1</v>
      </c>
      <c r="X27" s="18">
        <f t="shared" si="29"/>
        <v>1</v>
      </c>
    </row>
    <row r="28">
      <c r="A28" s="12" t="s">
        <v>135</v>
      </c>
      <c r="B28" s="12" t="s">
        <v>28</v>
      </c>
      <c r="C28" s="12" t="s">
        <v>29</v>
      </c>
      <c r="D28" s="12" t="s">
        <v>136</v>
      </c>
      <c r="E28" s="11" t="s">
        <v>137</v>
      </c>
      <c r="F28" s="12" t="s">
        <v>138</v>
      </c>
      <c r="G28" s="10" t="s">
        <v>33</v>
      </c>
      <c r="H28" s="13">
        <v>1.0</v>
      </c>
      <c r="I28" s="14">
        <v>1.0</v>
      </c>
      <c r="J28" s="13">
        <v>1.0</v>
      </c>
      <c r="K28" s="14">
        <v>1.0</v>
      </c>
      <c r="L28" s="13">
        <v>1.0</v>
      </c>
      <c r="M28" s="14">
        <v>1.0</v>
      </c>
      <c r="N28" s="13">
        <v>1.0</v>
      </c>
      <c r="O28" s="14">
        <v>1.0</v>
      </c>
      <c r="P28" s="15">
        <f t="shared" si="5"/>
        <v>1</v>
      </c>
      <c r="R28" s="3" t="s">
        <v>66</v>
      </c>
      <c r="S28" s="3" t="s">
        <v>66</v>
      </c>
      <c r="T28" s="3" t="s">
        <v>66</v>
      </c>
      <c r="W28" s="18">
        <f t="shared" ref="W28:X28" si="30">(H28+J28+L28+N28)/4</f>
        <v>1</v>
      </c>
      <c r="X28" s="18">
        <f t="shared" si="30"/>
        <v>1</v>
      </c>
    </row>
    <row r="29">
      <c r="A29" s="12" t="s">
        <v>139</v>
      </c>
      <c r="B29" s="12" t="s">
        <v>28</v>
      </c>
      <c r="C29" s="12" t="s">
        <v>29</v>
      </c>
      <c r="D29" s="12" t="s">
        <v>140</v>
      </c>
      <c r="E29" s="11" t="s">
        <v>141</v>
      </c>
      <c r="F29" s="12" t="s">
        <v>142</v>
      </c>
      <c r="G29" s="10" t="s">
        <v>33</v>
      </c>
      <c r="H29" s="13">
        <v>1.0</v>
      </c>
      <c r="I29" s="14">
        <v>1.0</v>
      </c>
      <c r="J29" s="13">
        <v>1.0</v>
      </c>
      <c r="K29" s="14">
        <v>1.0</v>
      </c>
      <c r="L29" s="13">
        <v>1.0</v>
      </c>
      <c r="M29" s="14">
        <v>1.0</v>
      </c>
      <c r="N29" s="13">
        <v>1.0</v>
      </c>
      <c r="O29" s="14">
        <v>1.0</v>
      </c>
      <c r="P29" s="15">
        <f t="shared" si="5"/>
        <v>1</v>
      </c>
      <c r="R29" s="3" t="s">
        <v>66</v>
      </c>
      <c r="S29" s="3" t="s">
        <v>66</v>
      </c>
      <c r="T29" s="3" t="s">
        <v>66</v>
      </c>
      <c r="W29" s="18">
        <f t="shared" ref="W29:X29" si="31">(H29+J29+L29+N29)/4</f>
        <v>1</v>
      </c>
      <c r="X29" s="18">
        <f t="shared" si="31"/>
        <v>1</v>
      </c>
    </row>
    <row r="30">
      <c r="A30" s="12" t="s">
        <v>143</v>
      </c>
      <c r="B30" s="12" t="s">
        <v>28</v>
      </c>
      <c r="C30" s="12" t="s">
        <v>29</v>
      </c>
      <c r="D30" s="12" t="s">
        <v>144</v>
      </c>
      <c r="E30" s="11" t="s">
        <v>145</v>
      </c>
      <c r="F30" s="12" t="s">
        <v>146</v>
      </c>
      <c r="G30" s="10" t="s">
        <v>33</v>
      </c>
      <c r="H30" s="13">
        <v>1.0</v>
      </c>
      <c r="I30" s="14">
        <v>1.0</v>
      </c>
      <c r="J30" s="13">
        <v>1.0</v>
      </c>
      <c r="K30" s="14">
        <v>1.0</v>
      </c>
      <c r="L30" s="13">
        <v>1.0</v>
      </c>
      <c r="M30" s="14">
        <v>1.0</v>
      </c>
      <c r="N30" s="13">
        <v>1.0</v>
      </c>
      <c r="O30" s="14">
        <v>1.0</v>
      </c>
      <c r="P30" s="15">
        <f t="shared" si="5"/>
        <v>1</v>
      </c>
      <c r="R30" s="3" t="s">
        <v>66</v>
      </c>
      <c r="S30" s="3" t="s">
        <v>66</v>
      </c>
      <c r="T30" s="3" t="s">
        <v>66</v>
      </c>
      <c r="W30" s="18">
        <f t="shared" ref="W30:X30" si="32">(H30+J30+L30+N30)/4</f>
        <v>1</v>
      </c>
      <c r="X30" s="18">
        <f t="shared" si="32"/>
        <v>1</v>
      </c>
    </row>
    <row r="31">
      <c r="A31" s="12" t="s">
        <v>147</v>
      </c>
      <c r="B31" s="12" t="s">
        <v>28</v>
      </c>
      <c r="C31" s="12" t="s">
        <v>29</v>
      </c>
      <c r="D31" s="12" t="s">
        <v>148</v>
      </c>
      <c r="E31" s="11" t="s">
        <v>149</v>
      </c>
      <c r="F31" s="12" t="s">
        <v>150</v>
      </c>
      <c r="G31" s="10" t="s">
        <v>33</v>
      </c>
      <c r="H31" s="13">
        <v>1.0</v>
      </c>
      <c r="I31" s="14">
        <v>1.0</v>
      </c>
      <c r="J31" s="13">
        <v>1.0</v>
      </c>
      <c r="K31" s="14">
        <v>1.0</v>
      </c>
      <c r="L31" s="13">
        <v>1.0</v>
      </c>
      <c r="M31" s="14">
        <v>1.0</v>
      </c>
      <c r="N31" s="13">
        <v>1.0</v>
      </c>
      <c r="O31" s="14">
        <v>1.0</v>
      </c>
      <c r="P31" s="15">
        <f t="shared" si="5"/>
        <v>1</v>
      </c>
      <c r="R31" s="3" t="s">
        <v>66</v>
      </c>
      <c r="S31" s="3" t="s">
        <v>66</v>
      </c>
      <c r="T31" s="3" t="s">
        <v>66</v>
      </c>
      <c r="W31" s="18">
        <f t="shared" ref="W31:X31" si="33">(H31+J31+L31+N31)/4</f>
        <v>1</v>
      </c>
      <c r="X31" s="18">
        <f t="shared" si="33"/>
        <v>1</v>
      </c>
    </row>
    <row r="32">
      <c r="A32" s="12" t="s">
        <v>151</v>
      </c>
      <c r="B32" s="12" t="s">
        <v>28</v>
      </c>
      <c r="C32" s="12" t="s">
        <v>29</v>
      </c>
      <c r="D32" s="12" t="s">
        <v>152</v>
      </c>
      <c r="E32" s="11" t="s">
        <v>153</v>
      </c>
      <c r="F32" s="12" t="s">
        <v>154</v>
      </c>
      <c r="G32" s="10" t="s">
        <v>33</v>
      </c>
      <c r="H32" s="13">
        <v>0.0</v>
      </c>
      <c r="I32" s="14">
        <v>1.0</v>
      </c>
      <c r="J32" s="13">
        <v>0.5</v>
      </c>
      <c r="K32" s="14">
        <v>1.0</v>
      </c>
      <c r="L32" s="13">
        <v>0.0</v>
      </c>
      <c r="M32" s="14">
        <v>1.0</v>
      </c>
      <c r="N32" s="13">
        <v>0.5</v>
      </c>
      <c r="O32" s="14">
        <v>1.0</v>
      </c>
      <c r="P32" s="15">
        <f t="shared" si="5"/>
        <v>0.25</v>
      </c>
      <c r="R32" s="3" t="s">
        <v>66</v>
      </c>
      <c r="S32" s="3" t="s">
        <v>66</v>
      </c>
      <c r="T32" s="3" t="s">
        <v>66</v>
      </c>
      <c r="W32" s="18">
        <f t="shared" ref="W32:X32" si="34">(H32+J32+L32+N32)/4</f>
        <v>0.25</v>
      </c>
      <c r="X32" s="18">
        <f t="shared" si="34"/>
        <v>1</v>
      </c>
    </row>
    <row r="33">
      <c r="A33" s="12" t="s">
        <v>155</v>
      </c>
      <c r="B33" s="12" t="s">
        <v>28</v>
      </c>
      <c r="C33" s="12" t="s">
        <v>29</v>
      </c>
      <c r="D33" s="12" t="s">
        <v>156</v>
      </c>
      <c r="E33" s="11" t="s">
        <v>157</v>
      </c>
      <c r="F33" s="12" t="s">
        <v>158</v>
      </c>
      <c r="G33" s="10" t="s">
        <v>33</v>
      </c>
      <c r="H33" s="13">
        <v>1.0</v>
      </c>
      <c r="I33" s="14">
        <v>1.0</v>
      </c>
      <c r="J33" s="13">
        <v>1.0</v>
      </c>
      <c r="K33" s="14">
        <v>1.0</v>
      </c>
      <c r="L33" s="13">
        <v>1.0</v>
      </c>
      <c r="M33" s="14">
        <v>1.0</v>
      </c>
      <c r="N33" s="13">
        <v>1.0</v>
      </c>
      <c r="O33" s="14">
        <v>1.0</v>
      </c>
      <c r="P33" s="15">
        <f t="shared" si="5"/>
        <v>1</v>
      </c>
      <c r="R33" s="3" t="s">
        <v>66</v>
      </c>
      <c r="S33" s="3" t="s">
        <v>66</v>
      </c>
      <c r="T33" s="3" t="s">
        <v>66</v>
      </c>
      <c r="W33" s="18">
        <f t="shared" ref="W33:X33" si="35">(H33+J33+L33+N33)/4</f>
        <v>1</v>
      </c>
      <c r="X33" s="18">
        <f t="shared" si="35"/>
        <v>1</v>
      </c>
    </row>
    <row r="34">
      <c r="A34" s="12" t="s">
        <v>159</v>
      </c>
      <c r="B34" s="12" t="s">
        <v>28</v>
      </c>
      <c r="C34" s="12" t="s">
        <v>29</v>
      </c>
      <c r="D34" s="12" t="s">
        <v>160</v>
      </c>
      <c r="E34" s="11" t="s">
        <v>161</v>
      </c>
      <c r="F34" s="12" t="s">
        <v>162</v>
      </c>
      <c r="G34" s="10" t="s">
        <v>33</v>
      </c>
      <c r="H34" s="13">
        <v>0.5</v>
      </c>
      <c r="I34" s="14">
        <v>1.0</v>
      </c>
      <c r="J34" s="13">
        <v>0.5</v>
      </c>
      <c r="K34" s="14">
        <v>1.0</v>
      </c>
      <c r="L34" s="13">
        <v>0.0</v>
      </c>
      <c r="M34" s="14">
        <v>1.0</v>
      </c>
      <c r="N34" s="13">
        <v>0.5</v>
      </c>
      <c r="O34" s="14">
        <v>1.0</v>
      </c>
      <c r="P34" s="15">
        <f t="shared" si="5"/>
        <v>0.375</v>
      </c>
      <c r="R34" s="3" t="s">
        <v>66</v>
      </c>
      <c r="S34" s="3" t="s">
        <v>66</v>
      </c>
      <c r="T34" s="3" t="s">
        <v>66</v>
      </c>
      <c r="W34" s="18">
        <f t="shared" ref="W34:X34" si="36">(H34+J34+L34+N34)/4</f>
        <v>0.375</v>
      </c>
      <c r="X34" s="18">
        <f t="shared" si="36"/>
        <v>1</v>
      </c>
    </row>
    <row r="35">
      <c r="A35" s="12" t="s">
        <v>163</v>
      </c>
      <c r="B35" s="12" t="s">
        <v>28</v>
      </c>
      <c r="C35" s="12" t="s">
        <v>29</v>
      </c>
      <c r="D35" s="12" t="s">
        <v>164</v>
      </c>
      <c r="E35" s="11" t="s">
        <v>165</v>
      </c>
      <c r="F35" s="12" t="s">
        <v>166</v>
      </c>
      <c r="G35" s="10" t="s">
        <v>33</v>
      </c>
      <c r="H35" s="13">
        <v>1.0</v>
      </c>
      <c r="I35" s="14">
        <v>1.0</v>
      </c>
      <c r="J35" s="13">
        <v>1.0</v>
      </c>
      <c r="K35" s="14">
        <v>1.0</v>
      </c>
      <c r="L35" s="13">
        <v>1.0</v>
      </c>
      <c r="M35" s="14">
        <v>1.0</v>
      </c>
      <c r="N35" s="13">
        <v>1.0</v>
      </c>
      <c r="O35" s="14">
        <v>1.0</v>
      </c>
      <c r="P35" s="15">
        <f t="shared" si="5"/>
        <v>1</v>
      </c>
      <c r="R35" s="3" t="s">
        <v>66</v>
      </c>
      <c r="S35" s="3" t="s">
        <v>66</v>
      </c>
      <c r="T35" s="3" t="s">
        <v>66</v>
      </c>
      <c r="W35" s="18">
        <f t="shared" ref="W35:X35" si="37">(H35+J35+L35+N35)/4</f>
        <v>1</v>
      </c>
      <c r="X35" s="18">
        <f t="shared" si="37"/>
        <v>1</v>
      </c>
    </row>
    <row r="36">
      <c r="A36" s="12" t="s">
        <v>167</v>
      </c>
      <c r="B36" s="12" t="s">
        <v>28</v>
      </c>
      <c r="C36" s="12" t="s">
        <v>29</v>
      </c>
      <c r="D36" s="12" t="s">
        <v>168</v>
      </c>
      <c r="E36" s="11" t="s">
        <v>169</v>
      </c>
      <c r="F36" s="12" t="s">
        <v>170</v>
      </c>
      <c r="G36" s="10" t="s">
        <v>33</v>
      </c>
      <c r="H36" s="13">
        <v>1.0</v>
      </c>
      <c r="I36" s="14">
        <v>1.0</v>
      </c>
      <c r="J36" s="13">
        <v>1.0</v>
      </c>
      <c r="K36" s="14">
        <v>1.0</v>
      </c>
      <c r="L36" s="13">
        <v>1.0</v>
      </c>
      <c r="M36" s="14">
        <v>1.0</v>
      </c>
      <c r="N36" s="13">
        <v>1.0</v>
      </c>
      <c r="O36" s="14">
        <v>1.0</v>
      </c>
      <c r="P36" s="15">
        <f t="shared" si="5"/>
        <v>1</v>
      </c>
      <c r="R36" s="3" t="s">
        <v>66</v>
      </c>
      <c r="S36" s="3" t="s">
        <v>66</v>
      </c>
      <c r="T36" s="3" t="s">
        <v>66</v>
      </c>
      <c r="W36" s="18">
        <f t="shared" ref="W36:X36" si="38">(H36+J36+L36+N36)/4</f>
        <v>1</v>
      </c>
      <c r="X36" s="18">
        <f t="shared" si="38"/>
        <v>1</v>
      </c>
    </row>
    <row r="37">
      <c r="A37" s="12" t="s">
        <v>171</v>
      </c>
      <c r="B37" s="12" t="s">
        <v>28</v>
      </c>
      <c r="C37" s="12" t="s">
        <v>29</v>
      </c>
      <c r="D37" s="12" t="s">
        <v>172</v>
      </c>
      <c r="E37" s="11" t="s">
        <v>173</v>
      </c>
      <c r="F37" s="12" t="s">
        <v>174</v>
      </c>
      <c r="G37" s="10" t="s">
        <v>33</v>
      </c>
      <c r="H37" s="13">
        <v>1.0</v>
      </c>
      <c r="I37" s="14">
        <v>1.0</v>
      </c>
      <c r="J37" s="13">
        <v>1.0</v>
      </c>
      <c r="K37" s="14">
        <v>1.0</v>
      </c>
      <c r="L37" s="13">
        <v>1.0</v>
      </c>
      <c r="M37" s="14">
        <v>1.0</v>
      </c>
      <c r="N37" s="13">
        <v>1.0</v>
      </c>
      <c r="O37" s="14">
        <v>1.0</v>
      </c>
      <c r="P37" s="15">
        <f t="shared" si="5"/>
        <v>1</v>
      </c>
      <c r="R37" s="3" t="s">
        <v>66</v>
      </c>
      <c r="S37" s="3" t="s">
        <v>66</v>
      </c>
      <c r="T37" s="3" t="s">
        <v>66</v>
      </c>
      <c r="W37" s="18">
        <f t="shared" ref="W37:X37" si="39">(H37+J37+L37+N37)/4</f>
        <v>1</v>
      </c>
      <c r="X37" s="18">
        <f t="shared" si="39"/>
        <v>1</v>
      </c>
    </row>
    <row r="38">
      <c r="A38" s="12" t="s">
        <v>175</v>
      </c>
      <c r="B38" s="12" t="s">
        <v>28</v>
      </c>
      <c r="C38" s="12" t="s">
        <v>29</v>
      </c>
      <c r="D38" s="12" t="s">
        <v>176</v>
      </c>
      <c r="E38" s="11" t="s">
        <v>177</v>
      </c>
      <c r="F38" s="12" t="s">
        <v>178</v>
      </c>
      <c r="G38" s="10" t="s">
        <v>33</v>
      </c>
      <c r="H38" s="13">
        <v>1.0</v>
      </c>
      <c r="I38" s="14">
        <v>1.0</v>
      </c>
      <c r="J38" s="13">
        <v>1.0</v>
      </c>
      <c r="K38" s="14">
        <v>1.0</v>
      </c>
      <c r="L38" s="13">
        <v>1.0</v>
      </c>
      <c r="M38" s="14">
        <v>1.0</v>
      </c>
      <c r="N38" s="13">
        <v>1.0</v>
      </c>
      <c r="O38" s="14">
        <v>1.0</v>
      </c>
      <c r="P38" s="15">
        <f t="shared" si="5"/>
        <v>1</v>
      </c>
      <c r="R38" s="3" t="s">
        <v>66</v>
      </c>
      <c r="S38" s="3" t="s">
        <v>66</v>
      </c>
      <c r="T38" s="3" t="s">
        <v>66</v>
      </c>
      <c r="W38" s="18">
        <f t="shared" ref="W38:X38" si="40">(H38+J38+L38+N38)/4</f>
        <v>1</v>
      </c>
      <c r="X38" s="18">
        <f t="shared" si="40"/>
        <v>1</v>
      </c>
    </row>
    <row r="39">
      <c r="A39" s="12" t="s">
        <v>179</v>
      </c>
      <c r="B39" s="12" t="s">
        <v>28</v>
      </c>
      <c r="C39" s="12" t="s">
        <v>29</v>
      </c>
      <c r="D39" s="12" t="s">
        <v>180</v>
      </c>
      <c r="E39" s="11" t="s">
        <v>181</v>
      </c>
      <c r="F39" s="12" t="s">
        <v>182</v>
      </c>
      <c r="G39" s="10" t="s">
        <v>33</v>
      </c>
      <c r="H39" s="13">
        <v>1.0</v>
      </c>
      <c r="I39" s="14">
        <v>1.0</v>
      </c>
      <c r="J39" s="13">
        <v>0.5</v>
      </c>
      <c r="K39" s="14">
        <v>1.0</v>
      </c>
      <c r="L39" s="13">
        <v>1.0</v>
      </c>
      <c r="M39" s="14">
        <v>1.0</v>
      </c>
      <c r="N39" s="13">
        <v>1.0</v>
      </c>
      <c r="O39" s="14">
        <v>1.0</v>
      </c>
      <c r="P39" s="15">
        <f t="shared" si="5"/>
        <v>0.875</v>
      </c>
      <c r="R39" s="3" t="s">
        <v>66</v>
      </c>
      <c r="S39" s="3" t="s">
        <v>66</v>
      </c>
      <c r="T39" s="3" t="s">
        <v>66</v>
      </c>
      <c r="W39" s="18">
        <f t="shared" ref="W39:X39" si="41">(H39+J39+L39+N39)/4</f>
        <v>0.875</v>
      </c>
      <c r="X39" s="18">
        <f t="shared" si="41"/>
        <v>1</v>
      </c>
    </row>
    <row r="40">
      <c r="A40" s="12" t="s">
        <v>183</v>
      </c>
      <c r="B40" s="12" t="s">
        <v>28</v>
      </c>
      <c r="C40" s="12" t="s">
        <v>29</v>
      </c>
      <c r="D40" s="12" t="s">
        <v>184</v>
      </c>
      <c r="E40" s="11" t="s">
        <v>185</v>
      </c>
      <c r="F40" s="12" t="s">
        <v>186</v>
      </c>
      <c r="G40" s="10" t="s">
        <v>33</v>
      </c>
      <c r="H40" s="13">
        <v>1.0</v>
      </c>
      <c r="I40" s="14">
        <v>1.0</v>
      </c>
      <c r="J40" s="13">
        <v>1.0</v>
      </c>
      <c r="K40" s="14">
        <v>1.0</v>
      </c>
      <c r="L40" s="13">
        <v>1.0</v>
      </c>
      <c r="M40" s="14">
        <v>1.0</v>
      </c>
      <c r="N40" s="13">
        <v>1.0</v>
      </c>
      <c r="O40" s="14">
        <v>1.0</v>
      </c>
      <c r="P40" s="15">
        <f t="shared" si="5"/>
        <v>1</v>
      </c>
      <c r="R40" s="3" t="s">
        <v>66</v>
      </c>
      <c r="S40" s="3" t="s">
        <v>66</v>
      </c>
      <c r="T40" s="3" t="s">
        <v>66</v>
      </c>
      <c r="W40" s="18">
        <f t="shared" ref="W40:X40" si="42">(H40+J40+L40+N40)/4</f>
        <v>1</v>
      </c>
      <c r="X40" s="18">
        <f t="shared" si="42"/>
        <v>1</v>
      </c>
    </row>
    <row r="41">
      <c r="A41" s="12" t="s">
        <v>187</v>
      </c>
      <c r="B41" s="12" t="s">
        <v>28</v>
      </c>
      <c r="C41" s="12" t="s">
        <v>29</v>
      </c>
      <c r="D41" s="12" t="s">
        <v>188</v>
      </c>
      <c r="E41" s="11" t="s">
        <v>189</v>
      </c>
      <c r="F41" s="12" t="s">
        <v>190</v>
      </c>
      <c r="G41" s="10" t="s">
        <v>33</v>
      </c>
      <c r="H41" s="13">
        <v>1.0</v>
      </c>
      <c r="I41" s="14">
        <v>1.0</v>
      </c>
      <c r="J41" s="13">
        <v>1.0</v>
      </c>
      <c r="K41" s="14">
        <v>1.0</v>
      </c>
      <c r="L41" s="13">
        <v>1.0</v>
      </c>
      <c r="M41" s="14">
        <v>1.0</v>
      </c>
      <c r="N41" s="13">
        <v>1.0</v>
      </c>
      <c r="O41" s="14">
        <v>1.0</v>
      </c>
      <c r="P41" s="15">
        <f t="shared" si="5"/>
        <v>1</v>
      </c>
      <c r="R41" s="3" t="s">
        <v>66</v>
      </c>
      <c r="S41" s="3" t="s">
        <v>66</v>
      </c>
      <c r="T41" s="3" t="s">
        <v>66</v>
      </c>
      <c r="W41" s="18">
        <f t="shared" ref="W41:X41" si="43">(H41+J41+L41+N41)/4</f>
        <v>1</v>
      </c>
      <c r="X41" s="18">
        <f t="shared" si="43"/>
        <v>1</v>
      </c>
    </row>
    <row r="42">
      <c r="A42" s="12" t="s">
        <v>191</v>
      </c>
      <c r="B42" s="12" t="s">
        <v>28</v>
      </c>
      <c r="C42" s="12" t="s">
        <v>29</v>
      </c>
      <c r="D42" s="12" t="s">
        <v>192</v>
      </c>
      <c r="E42" s="11" t="s">
        <v>193</v>
      </c>
      <c r="F42" s="12" t="s">
        <v>194</v>
      </c>
      <c r="G42" s="10" t="s">
        <v>33</v>
      </c>
      <c r="H42" s="13">
        <v>1.0</v>
      </c>
      <c r="I42" s="14">
        <v>1.0</v>
      </c>
      <c r="J42" s="13">
        <v>1.0</v>
      </c>
      <c r="K42" s="14">
        <v>1.0</v>
      </c>
      <c r="L42" s="13">
        <v>1.0</v>
      </c>
      <c r="M42" s="14">
        <v>1.0</v>
      </c>
      <c r="N42" s="13">
        <v>1.0</v>
      </c>
      <c r="O42" s="14">
        <v>1.0</v>
      </c>
      <c r="P42" s="15">
        <f t="shared" si="5"/>
        <v>1</v>
      </c>
      <c r="R42" s="3" t="s">
        <v>66</v>
      </c>
      <c r="S42" s="3" t="s">
        <v>66</v>
      </c>
      <c r="T42" s="3" t="s">
        <v>66</v>
      </c>
      <c r="W42" s="18">
        <f t="shared" ref="W42:X42" si="44">(H42+J42+L42+N42)/4</f>
        <v>1</v>
      </c>
      <c r="X42" s="18">
        <f t="shared" si="44"/>
        <v>1</v>
      </c>
    </row>
    <row r="43">
      <c r="A43" s="12" t="s">
        <v>195</v>
      </c>
      <c r="B43" s="12" t="s">
        <v>28</v>
      </c>
      <c r="C43" s="12" t="s">
        <v>29</v>
      </c>
      <c r="D43" s="12" t="s">
        <v>196</v>
      </c>
      <c r="E43" s="11" t="s">
        <v>197</v>
      </c>
      <c r="F43" s="12" t="s">
        <v>198</v>
      </c>
      <c r="G43" s="10" t="s">
        <v>33</v>
      </c>
      <c r="H43" s="13">
        <v>1.0</v>
      </c>
      <c r="I43" s="14">
        <v>1.0</v>
      </c>
      <c r="J43" s="13">
        <v>0.5</v>
      </c>
      <c r="K43" s="14">
        <v>1.0</v>
      </c>
      <c r="L43" s="13">
        <v>1.0</v>
      </c>
      <c r="M43" s="14">
        <v>1.0</v>
      </c>
      <c r="N43" s="13">
        <v>1.0</v>
      </c>
      <c r="O43" s="14">
        <v>1.0</v>
      </c>
      <c r="P43" s="15">
        <f t="shared" si="5"/>
        <v>0.875</v>
      </c>
      <c r="R43" s="3" t="s">
        <v>66</v>
      </c>
      <c r="S43" s="3" t="s">
        <v>66</v>
      </c>
      <c r="T43" s="3" t="s">
        <v>66</v>
      </c>
      <c r="W43" s="18">
        <f t="shared" ref="W43:X43" si="45">(H43+J43+L43+N43)/4</f>
        <v>0.875</v>
      </c>
      <c r="X43" s="18">
        <f t="shared" si="45"/>
        <v>1</v>
      </c>
    </row>
    <row r="44">
      <c r="A44" s="12" t="s">
        <v>199</v>
      </c>
      <c r="B44" s="12" t="s">
        <v>28</v>
      </c>
      <c r="C44" s="12" t="s">
        <v>29</v>
      </c>
      <c r="D44" s="12" t="s">
        <v>200</v>
      </c>
      <c r="E44" s="11" t="s">
        <v>201</v>
      </c>
      <c r="F44" s="12" t="s">
        <v>202</v>
      </c>
      <c r="G44" s="10" t="s">
        <v>33</v>
      </c>
      <c r="H44" s="13">
        <v>1.0</v>
      </c>
      <c r="I44" s="14">
        <v>1.0</v>
      </c>
      <c r="J44" s="13">
        <v>1.0</v>
      </c>
      <c r="K44" s="14">
        <v>1.0</v>
      </c>
      <c r="L44" s="13">
        <v>1.0</v>
      </c>
      <c r="M44" s="14">
        <v>1.0</v>
      </c>
      <c r="N44" s="13">
        <v>1.0</v>
      </c>
      <c r="O44" s="14">
        <v>1.0</v>
      </c>
      <c r="P44" s="15">
        <f t="shared" si="5"/>
        <v>1</v>
      </c>
      <c r="R44" s="3" t="s">
        <v>66</v>
      </c>
      <c r="S44" s="3" t="s">
        <v>66</v>
      </c>
      <c r="T44" s="3" t="s">
        <v>66</v>
      </c>
      <c r="W44" s="18">
        <f t="shared" ref="W44:X44" si="46">(H44+J44+L44+N44)/4</f>
        <v>1</v>
      </c>
      <c r="X44" s="18">
        <f t="shared" si="46"/>
        <v>1</v>
      </c>
    </row>
    <row r="45">
      <c r="A45" s="12" t="s">
        <v>203</v>
      </c>
      <c r="B45" s="12" t="s">
        <v>28</v>
      </c>
      <c r="C45" s="12" t="s">
        <v>29</v>
      </c>
      <c r="D45" s="12" t="s">
        <v>204</v>
      </c>
      <c r="E45" s="11" t="s">
        <v>205</v>
      </c>
      <c r="F45" s="12" t="s">
        <v>206</v>
      </c>
      <c r="G45" s="10" t="s">
        <v>33</v>
      </c>
      <c r="H45" s="13">
        <v>1.0</v>
      </c>
      <c r="I45" s="14">
        <v>1.0</v>
      </c>
      <c r="J45" s="13">
        <v>1.0</v>
      </c>
      <c r="K45" s="14">
        <v>1.0</v>
      </c>
      <c r="L45" s="13">
        <v>1.0</v>
      </c>
      <c r="M45" s="14">
        <v>1.0</v>
      </c>
      <c r="N45" s="13">
        <v>1.0</v>
      </c>
      <c r="O45" s="14">
        <v>1.0</v>
      </c>
      <c r="P45" s="15">
        <f t="shared" si="5"/>
        <v>1</v>
      </c>
      <c r="R45" s="3" t="s">
        <v>66</v>
      </c>
      <c r="S45" s="3" t="s">
        <v>66</v>
      </c>
      <c r="T45" s="3" t="s">
        <v>66</v>
      </c>
      <c r="W45" s="18">
        <f t="shared" ref="W45:X45" si="47">(H45+J45+L45+N45)/4</f>
        <v>1</v>
      </c>
      <c r="X45" s="18">
        <f t="shared" si="47"/>
        <v>1</v>
      </c>
    </row>
    <row r="46">
      <c r="A46" s="12" t="s">
        <v>207</v>
      </c>
      <c r="B46" s="12" t="s">
        <v>28</v>
      </c>
      <c r="C46" s="12" t="s">
        <v>29</v>
      </c>
      <c r="D46" s="12" t="s">
        <v>208</v>
      </c>
      <c r="E46" s="11" t="s">
        <v>209</v>
      </c>
      <c r="F46" s="12" t="s">
        <v>210</v>
      </c>
      <c r="G46" s="10" t="s">
        <v>33</v>
      </c>
      <c r="H46" s="13">
        <v>1.0</v>
      </c>
      <c r="I46" s="14">
        <v>1.0</v>
      </c>
      <c r="J46" s="13">
        <v>1.0</v>
      </c>
      <c r="K46" s="14">
        <v>1.0</v>
      </c>
      <c r="L46" s="13">
        <v>1.0</v>
      </c>
      <c r="M46" s="14">
        <v>1.0</v>
      </c>
      <c r="N46" s="13">
        <v>1.0</v>
      </c>
      <c r="O46" s="14">
        <v>1.0</v>
      </c>
      <c r="P46" s="15">
        <f t="shared" si="5"/>
        <v>1</v>
      </c>
      <c r="R46" s="3" t="s">
        <v>66</v>
      </c>
      <c r="S46" s="3" t="s">
        <v>66</v>
      </c>
      <c r="T46" s="3" t="s">
        <v>66</v>
      </c>
      <c r="W46" s="18">
        <f t="shared" ref="W46:X46" si="48">(H46+J46+L46+N46)/4</f>
        <v>1</v>
      </c>
      <c r="X46" s="18">
        <f t="shared" si="48"/>
        <v>1</v>
      </c>
    </row>
    <row r="47">
      <c r="A47" s="12" t="s">
        <v>211</v>
      </c>
      <c r="B47" s="12" t="s">
        <v>28</v>
      </c>
      <c r="C47" s="12" t="s">
        <v>29</v>
      </c>
      <c r="D47" s="12" t="s">
        <v>212</v>
      </c>
      <c r="E47" s="11" t="s">
        <v>213</v>
      </c>
      <c r="F47" s="12" t="s">
        <v>214</v>
      </c>
      <c r="G47" s="10" t="s">
        <v>33</v>
      </c>
      <c r="H47" s="13">
        <v>1.0</v>
      </c>
      <c r="I47" s="14">
        <v>1.0</v>
      </c>
      <c r="J47" s="13">
        <v>1.0</v>
      </c>
      <c r="K47" s="14">
        <v>1.0</v>
      </c>
      <c r="L47" s="13">
        <v>1.0</v>
      </c>
      <c r="M47" s="14">
        <v>1.0</v>
      </c>
      <c r="N47" s="13">
        <v>1.0</v>
      </c>
      <c r="O47" s="14">
        <v>1.0</v>
      </c>
      <c r="P47" s="15">
        <f t="shared" si="5"/>
        <v>1</v>
      </c>
      <c r="R47" s="3" t="s">
        <v>66</v>
      </c>
      <c r="S47" s="3" t="s">
        <v>66</v>
      </c>
      <c r="T47" s="3" t="s">
        <v>66</v>
      </c>
      <c r="W47" s="18">
        <f t="shared" ref="W47:X47" si="49">(H47+J47+L47+N47)/4</f>
        <v>1</v>
      </c>
      <c r="X47" s="18">
        <f t="shared" si="49"/>
        <v>1</v>
      </c>
    </row>
    <row r="48">
      <c r="A48" s="12" t="s">
        <v>215</v>
      </c>
      <c r="B48" s="12" t="s">
        <v>28</v>
      </c>
      <c r="C48" s="12" t="s">
        <v>29</v>
      </c>
      <c r="D48" s="12" t="s">
        <v>216</v>
      </c>
      <c r="E48" s="11" t="s">
        <v>217</v>
      </c>
      <c r="F48" s="12" t="s">
        <v>218</v>
      </c>
      <c r="G48" s="10" t="s">
        <v>33</v>
      </c>
      <c r="H48" s="13">
        <v>1.0</v>
      </c>
      <c r="I48" s="14">
        <v>1.0</v>
      </c>
      <c r="J48" s="13">
        <v>1.0</v>
      </c>
      <c r="K48" s="14">
        <v>1.0</v>
      </c>
      <c r="L48" s="13">
        <v>1.0</v>
      </c>
      <c r="M48" s="14">
        <v>1.0</v>
      </c>
      <c r="N48" s="13">
        <v>1.0</v>
      </c>
      <c r="O48" s="14">
        <v>1.0</v>
      </c>
      <c r="P48" s="15">
        <f t="shared" si="5"/>
        <v>1</v>
      </c>
      <c r="R48" s="3" t="s">
        <v>66</v>
      </c>
      <c r="S48" s="3" t="s">
        <v>66</v>
      </c>
      <c r="T48" s="3" t="s">
        <v>66</v>
      </c>
      <c r="W48" s="18">
        <f t="shared" ref="W48:X48" si="50">(H48+J48+L48+N48)/4</f>
        <v>1</v>
      </c>
      <c r="X48" s="18">
        <f t="shared" si="50"/>
        <v>1</v>
      </c>
    </row>
    <row r="49">
      <c r="A49" s="12" t="s">
        <v>219</v>
      </c>
      <c r="B49" s="12" t="s">
        <v>28</v>
      </c>
      <c r="C49" s="12" t="s">
        <v>29</v>
      </c>
      <c r="D49" s="12" t="s">
        <v>220</v>
      </c>
      <c r="E49" s="11" t="s">
        <v>221</v>
      </c>
      <c r="F49" s="12" t="s">
        <v>222</v>
      </c>
      <c r="G49" s="10" t="s">
        <v>33</v>
      </c>
      <c r="H49" s="13">
        <v>1.0</v>
      </c>
      <c r="I49" s="14">
        <v>1.0</v>
      </c>
      <c r="J49" s="13">
        <v>1.0</v>
      </c>
      <c r="K49" s="14">
        <v>1.0</v>
      </c>
      <c r="L49" s="13">
        <v>1.0</v>
      </c>
      <c r="M49" s="14">
        <v>1.0</v>
      </c>
      <c r="N49" s="13">
        <v>1.0</v>
      </c>
      <c r="O49" s="14">
        <v>1.0</v>
      </c>
      <c r="P49" s="15">
        <f t="shared" si="5"/>
        <v>1</v>
      </c>
      <c r="R49" s="3" t="s">
        <v>66</v>
      </c>
      <c r="S49" s="3" t="s">
        <v>66</v>
      </c>
      <c r="T49" s="3" t="s">
        <v>66</v>
      </c>
      <c r="W49" s="18">
        <f t="shared" ref="W49:X49" si="51">(H49+J49+L49+N49)/4</f>
        <v>1</v>
      </c>
      <c r="X49" s="18">
        <f t="shared" si="51"/>
        <v>1</v>
      </c>
    </row>
    <row r="50">
      <c r="A50" s="12" t="s">
        <v>223</v>
      </c>
      <c r="B50" s="12" t="s">
        <v>28</v>
      </c>
      <c r="C50" s="12" t="s">
        <v>29</v>
      </c>
      <c r="D50" s="12" t="s">
        <v>224</v>
      </c>
      <c r="E50" s="11" t="s">
        <v>225</v>
      </c>
      <c r="F50" s="12" t="s">
        <v>226</v>
      </c>
      <c r="G50" s="10" t="s">
        <v>33</v>
      </c>
      <c r="H50" s="13">
        <v>0.5</v>
      </c>
      <c r="I50" s="14">
        <v>1.0</v>
      </c>
      <c r="J50" s="13">
        <v>1.0</v>
      </c>
      <c r="K50" s="14">
        <v>1.0</v>
      </c>
      <c r="L50" s="13">
        <v>0.5</v>
      </c>
      <c r="M50" s="14">
        <v>1.0</v>
      </c>
      <c r="N50" s="13">
        <v>1.0</v>
      </c>
      <c r="O50" s="14">
        <v>1.0</v>
      </c>
      <c r="P50" s="15">
        <f t="shared" si="5"/>
        <v>0.75</v>
      </c>
      <c r="R50" s="3" t="s">
        <v>66</v>
      </c>
      <c r="S50" s="3" t="s">
        <v>66</v>
      </c>
      <c r="T50" s="3" t="s">
        <v>66</v>
      </c>
      <c r="W50" s="18">
        <f t="shared" ref="W50:X50" si="52">(H50+J50+L50+N50)/4</f>
        <v>0.75</v>
      </c>
      <c r="X50" s="18">
        <f t="shared" si="52"/>
        <v>1</v>
      </c>
    </row>
    <row r="51">
      <c r="A51" s="12" t="s">
        <v>227</v>
      </c>
      <c r="B51" s="12" t="s">
        <v>28</v>
      </c>
      <c r="C51" s="12" t="s">
        <v>29</v>
      </c>
      <c r="D51" s="12" t="s">
        <v>228</v>
      </c>
      <c r="E51" s="11" t="s">
        <v>229</v>
      </c>
      <c r="F51" s="12" t="s">
        <v>230</v>
      </c>
      <c r="G51" s="10" t="s">
        <v>33</v>
      </c>
      <c r="H51" s="13">
        <v>1.0</v>
      </c>
      <c r="I51" s="14">
        <v>1.0</v>
      </c>
      <c r="J51" s="13">
        <v>1.0</v>
      </c>
      <c r="K51" s="14">
        <v>1.0</v>
      </c>
      <c r="L51" s="13">
        <v>1.0</v>
      </c>
      <c r="M51" s="14">
        <v>1.0</v>
      </c>
      <c r="N51" s="13">
        <v>1.0</v>
      </c>
      <c r="O51" s="14">
        <v>1.0</v>
      </c>
      <c r="P51" s="15">
        <f t="shared" si="5"/>
        <v>1</v>
      </c>
      <c r="R51" s="3" t="s">
        <v>66</v>
      </c>
      <c r="S51" s="3" t="s">
        <v>66</v>
      </c>
      <c r="T51" s="3" t="s">
        <v>66</v>
      </c>
      <c r="W51" s="18">
        <f t="shared" ref="W51:X51" si="53">(H51+J51+L51+N51)/4</f>
        <v>1</v>
      </c>
      <c r="X51" s="18">
        <f t="shared" si="53"/>
        <v>1</v>
      </c>
    </row>
    <row r="52">
      <c r="A52" s="12" t="s">
        <v>231</v>
      </c>
      <c r="B52" s="12" t="s">
        <v>28</v>
      </c>
      <c r="C52" s="12" t="s">
        <v>29</v>
      </c>
      <c r="D52" s="12" t="s">
        <v>232</v>
      </c>
      <c r="E52" s="11" t="s">
        <v>233</v>
      </c>
      <c r="F52" s="12" t="s">
        <v>234</v>
      </c>
      <c r="G52" s="10" t="s">
        <v>39</v>
      </c>
      <c r="H52" s="13">
        <v>0.5</v>
      </c>
      <c r="I52" s="14">
        <v>0.5</v>
      </c>
      <c r="J52" s="13">
        <v>0.5</v>
      </c>
      <c r="K52" s="14">
        <v>0.5</v>
      </c>
      <c r="L52" s="13">
        <v>0.0</v>
      </c>
      <c r="M52" s="14">
        <v>0.0</v>
      </c>
      <c r="N52" s="13">
        <v>0.5</v>
      </c>
      <c r="O52" s="14">
        <v>0.5</v>
      </c>
      <c r="P52" s="15">
        <f t="shared" si="5"/>
        <v>1</v>
      </c>
      <c r="R52" s="3" t="s">
        <v>66</v>
      </c>
      <c r="S52" s="3" t="s">
        <v>66</v>
      </c>
      <c r="T52" s="3" t="s">
        <v>66</v>
      </c>
      <c r="W52" s="18">
        <f t="shared" ref="W52:X52" si="54">(H52+J52+L52+N52)/4</f>
        <v>0.375</v>
      </c>
      <c r="X52" s="18">
        <f t="shared" si="54"/>
        <v>0.375</v>
      </c>
    </row>
    <row r="53">
      <c r="A53" s="12" t="s">
        <v>27</v>
      </c>
      <c r="B53" s="12" t="s">
        <v>28</v>
      </c>
      <c r="C53" s="12" t="s">
        <v>235</v>
      </c>
      <c r="D53" s="12" t="s">
        <v>30</v>
      </c>
      <c r="E53" s="11" t="s">
        <v>236</v>
      </c>
      <c r="F53" s="12" t="s">
        <v>32</v>
      </c>
      <c r="G53" s="10" t="s">
        <v>33</v>
      </c>
      <c r="H53" s="13">
        <v>1.0</v>
      </c>
      <c r="I53" s="14">
        <v>1.0</v>
      </c>
      <c r="J53" s="13">
        <v>1.0</v>
      </c>
      <c r="K53" s="14">
        <v>1.0</v>
      </c>
      <c r="L53" s="13">
        <v>1.0</v>
      </c>
      <c r="M53" s="14">
        <v>1.0</v>
      </c>
      <c r="N53" s="13">
        <v>1.0</v>
      </c>
      <c r="O53" s="14">
        <v>1.0</v>
      </c>
      <c r="P53" s="15">
        <f t="shared" si="5"/>
        <v>1</v>
      </c>
      <c r="R53" s="3" t="s">
        <v>66</v>
      </c>
      <c r="S53" s="3" t="s">
        <v>66</v>
      </c>
      <c r="T53" s="3" t="s">
        <v>66</v>
      </c>
      <c r="W53" s="18">
        <f t="shared" ref="W53:X53" si="55">(H53+J53+L53+N53)/4</f>
        <v>1</v>
      </c>
      <c r="X53" s="18">
        <f t="shared" si="55"/>
        <v>1</v>
      </c>
    </row>
    <row r="54">
      <c r="A54" s="12" t="s">
        <v>35</v>
      </c>
      <c r="B54" s="12" t="s">
        <v>28</v>
      </c>
      <c r="C54" s="12" t="s">
        <v>235</v>
      </c>
      <c r="D54" s="12" t="s">
        <v>55</v>
      </c>
      <c r="E54" s="11" t="s">
        <v>237</v>
      </c>
      <c r="F54" s="12" t="s">
        <v>57</v>
      </c>
      <c r="G54" s="10" t="s">
        <v>33</v>
      </c>
      <c r="H54" s="13">
        <v>1.0</v>
      </c>
      <c r="I54" s="14">
        <v>1.0</v>
      </c>
      <c r="J54" s="13">
        <v>1.0</v>
      </c>
      <c r="K54" s="14">
        <v>1.0</v>
      </c>
      <c r="L54" s="13">
        <v>1.0</v>
      </c>
      <c r="M54" s="14">
        <v>1.0</v>
      </c>
      <c r="N54" s="13">
        <v>1.0</v>
      </c>
      <c r="O54" s="14">
        <v>1.0</v>
      </c>
      <c r="P54" s="15">
        <f t="shared" si="5"/>
        <v>1</v>
      </c>
      <c r="R54" s="3" t="s">
        <v>66</v>
      </c>
      <c r="S54" s="3" t="s">
        <v>66</v>
      </c>
      <c r="T54" s="3" t="s">
        <v>66</v>
      </c>
      <c r="W54" s="18">
        <f t="shared" ref="W54:X54" si="56">(H54+J54+L54+N54)/4</f>
        <v>1</v>
      </c>
      <c r="X54" s="18">
        <f t="shared" si="56"/>
        <v>1</v>
      </c>
    </row>
    <row r="55">
      <c r="A55" s="12" t="s">
        <v>41</v>
      </c>
      <c r="B55" s="12" t="s">
        <v>28</v>
      </c>
      <c r="C55" s="12" t="s">
        <v>235</v>
      </c>
      <c r="D55" s="12" t="s">
        <v>42</v>
      </c>
      <c r="E55" s="11" t="s">
        <v>238</v>
      </c>
      <c r="F55" s="12" t="s">
        <v>44</v>
      </c>
      <c r="G55" s="10" t="s">
        <v>33</v>
      </c>
      <c r="H55" s="13">
        <v>1.0</v>
      </c>
      <c r="I55" s="14">
        <v>1.0</v>
      </c>
      <c r="J55" s="13">
        <v>1.0</v>
      </c>
      <c r="K55" s="14">
        <v>1.0</v>
      </c>
      <c r="L55" s="13">
        <v>1.0</v>
      </c>
      <c r="M55" s="14">
        <v>1.0</v>
      </c>
      <c r="N55" s="13">
        <v>1.0</v>
      </c>
      <c r="O55" s="14">
        <v>1.0</v>
      </c>
      <c r="P55" s="15">
        <f t="shared" si="5"/>
        <v>1</v>
      </c>
      <c r="R55" s="3" t="s">
        <v>66</v>
      </c>
      <c r="S55" s="3" t="s">
        <v>66</v>
      </c>
      <c r="T55" s="3" t="s">
        <v>66</v>
      </c>
      <c r="W55" s="18">
        <f t="shared" ref="W55:X55" si="57">(H55+J55+L55+N55)/4</f>
        <v>1</v>
      </c>
      <c r="X55" s="18">
        <f t="shared" si="57"/>
        <v>1</v>
      </c>
    </row>
    <row r="56">
      <c r="A56" s="12" t="s">
        <v>46</v>
      </c>
      <c r="B56" s="12" t="s">
        <v>28</v>
      </c>
      <c r="C56" s="12" t="s">
        <v>235</v>
      </c>
      <c r="D56" s="12" t="s">
        <v>47</v>
      </c>
      <c r="E56" s="11" t="s">
        <v>239</v>
      </c>
      <c r="F56" s="12" t="s">
        <v>49</v>
      </c>
      <c r="G56" s="10" t="s">
        <v>33</v>
      </c>
      <c r="H56" s="13">
        <v>1.0</v>
      </c>
      <c r="I56" s="14">
        <v>1.0</v>
      </c>
      <c r="J56" s="13">
        <v>1.0</v>
      </c>
      <c r="K56" s="14">
        <v>1.0</v>
      </c>
      <c r="L56" s="13">
        <v>1.0</v>
      </c>
      <c r="M56" s="14">
        <v>1.0</v>
      </c>
      <c r="N56" s="13">
        <v>1.0</v>
      </c>
      <c r="O56" s="14">
        <v>1.0</v>
      </c>
      <c r="P56" s="15">
        <f t="shared" si="5"/>
        <v>1</v>
      </c>
      <c r="R56" s="3" t="s">
        <v>66</v>
      </c>
      <c r="S56" s="3" t="s">
        <v>66</v>
      </c>
      <c r="T56" s="3" t="s">
        <v>66</v>
      </c>
      <c r="W56" s="18">
        <f t="shared" ref="W56:X56" si="58">(H56+J56+L56+N56)/4</f>
        <v>1</v>
      </c>
      <c r="X56" s="18">
        <f t="shared" si="58"/>
        <v>1</v>
      </c>
    </row>
    <row r="57">
      <c r="A57" s="12" t="s">
        <v>50</v>
      </c>
      <c r="B57" s="12" t="s">
        <v>28</v>
      </c>
      <c r="C57" s="12" t="s">
        <v>235</v>
      </c>
      <c r="D57" s="12" t="s">
        <v>51</v>
      </c>
      <c r="E57" s="11" t="s">
        <v>240</v>
      </c>
      <c r="F57" s="12" t="s">
        <v>53</v>
      </c>
      <c r="G57" s="10" t="s">
        <v>33</v>
      </c>
      <c r="H57" s="13">
        <v>1.0</v>
      </c>
      <c r="I57" s="14">
        <v>1.0</v>
      </c>
      <c r="J57" s="13">
        <v>1.0</v>
      </c>
      <c r="K57" s="14">
        <v>1.0</v>
      </c>
      <c r="L57" s="13">
        <v>1.0</v>
      </c>
      <c r="M57" s="14">
        <v>1.0</v>
      </c>
      <c r="N57" s="13">
        <v>1.0</v>
      </c>
      <c r="O57" s="14">
        <v>1.0</v>
      </c>
      <c r="P57" s="15">
        <f t="shared" si="5"/>
        <v>1</v>
      </c>
      <c r="R57" s="3" t="s">
        <v>66</v>
      </c>
      <c r="S57" s="3" t="s">
        <v>66</v>
      </c>
      <c r="T57" s="3" t="s">
        <v>66</v>
      </c>
      <c r="W57" s="18">
        <f t="shared" ref="W57:X57" si="59">(H57+J57+L57+N57)/4</f>
        <v>1</v>
      </c>
      <c r="X57" s="18">
        <f t="shared" si="59"/>
        <v>1</v>
      </c>
    </row>
    <row r="58">
      <c r="A58" s="12" t="s">
        <v>54</v>
      </c>
      <c r="B58" s="12" t="s">
        <v>28</v>
      </c>
      <c r="C58" s="12" t="s">
        <v>235</v>
      </c>
      <c r="D58" s="12" t="s">
        <v>36</v>
      </c>
      <c r="E58" s="11" t="s">
        <v>241</v>
      </c>
      <c r="F58" s="12" t="s">
        <v>38</v>
      </c>
      <c r="G58" s="10" t="s">
        <v>33</v>
      </c>
      <c r="H58" s="13">
        <v>1.0</v>
      </c>
      <c r="I58" s="14">
        <v>1.0</v>
      </c>
      <c r="J58" s="13">
        <v>1.0</v>
      </c>
      <c r="K58" s="14">
        <v>1.0</v>
      </c>
      <c r="L58" s="13">
        <v>1.0</v>
      </c>
      <c r="M58" s="14">
        <v>1.0</v>
      </c>
      <c r="N58" s="13">
        <v>1.0</v>
      </c>
      <c r="O58" s="14">
        <v>1.0</v>
      </c>
      <c r="P58" s="15">
        <f t="shared" si="5"/>
        <v>1</v>
      </c>
      <c r="R58" s="3" t="s">
        <v>66</v>
      </c>
      <c r="S58" s="3" t="s">
        <v>66</v>
      </c>
      <c r="T58" s="3" t="s">
        <v>66</v>
      </c>
      <c r="W58" s="18">
        <f t="shared" ref="W58:X58" si="60">(H58+J58+L58+N58)/4</f>
        <v>1</v>
      </c>
      <c r="X58" s="18">
        <f t="shared" si="60"/>
        <v>1</v>
      </c>
    </row>
    <row r="59">
      <c r="A59" s="12" t="s">
        <v>58</v>
      </c>
      <c r="B59" s="12" t="s">
        <v>28</v>
      </c>
      <c r="C59" s="12" t="s">
        <v>235</v>
      </c>
      <c r="D59" s="12" t="s">
        <v>59</v>
      </c>
      <c r="E59" s="11" t="s">
        <v>242</v>
      </c>
      <c r="F59" s="12" t="s">
        <v>61</v>
      </c>
      <c r="G59" s="10" t="s">
        <v>33</v>
      </c>
      <c r="H59" s="13">
        <v>1.0</v>
      </c>
      <c r="I59" s="14">
        <v>1.0</v>
      </c>
      <c r="J59" s="13">
        <v>1.0</v>
      </c>
      <c r="K59" s="14">
        <v>1.0</v>
      </c>
      <c r="L59" s="13">
        <v>1.0</v>
      </c>
      <c r="M59" s="14">
        <v>1.0</v>
      </c>
      <c r="N59" s="13">
        <v>1.0</v>
      </c>
      <c r="O59" s="14">
        <v>1.0</v>
      </c>
      <c r="P59" s="15">
        <f t="shared" si="5"/>
        <v>1</v>
      </c>
      <c r="R59" s="3" t="s">
        <v>66</v>
      </c>
      <c r="S59" s="3" t="s">
        <v>66</v>
      </c>
      <c r="T59" s="3" t="s">
        <v>66</v>
      </c>
      <c r="W59" s="18">
        <f t="shared" ref="W59:X59" si="61">(H59+J59+L59+N59)/4</f>
        <v>1</v>
      </c>
      <c r="X59" s="18">
        <f t="shared" si="61"/>
        <v>1</v>
      </c>
    </row>
    <row r="60">
      <c r="A60" s="12" t="s">
        <v>62</v>
      </c>
      <c r="B60" s="12" t="s">
        <v>28</v>
      </c>
      <c r="C60" s="12" t="s">
        <v>235</v>
      </c>
      <c r="D60" s="12" t="s">
        <v>63</v>
      </c>
      <c r="E60" s="11" t="s">
        <v>243</v>
      </c>
      <c r="F60" s="12" t="s">
        <v>65</v>
      </c>
      <c r="G60" s="10" t="s">
        <v>33</v>
      </c>
      <c r="H60" s="13">
        <v>1.0</v>
      </c>
      <c r="I60" s="14">
        <v>1.0</v>
      </c>
      <c r="J60" s="13">
        <v>1.0</v>
      </c>
      <c r="K60" s="14">
        <v>1.0</v>
      </c>
      <c r="L60" s="13">
        <v>1.0</v>
      </c>
      <c r="M60" s="14">
        <v>1.0</v>
      </c>
      <c r="N60" s="13">
        <v>1.0</v>
      </c>
      <c r="O60" s="14">
        <v>1.0</v>
      </c>
      <c r="P60" s="15">
        <f t="shared" si="5"/>
        <v>1</v>
      </c>
      <c r="R60" s="3" t="s">
        <v>66</v>
      </c>
      <c r="S60" s="3" t="s">
        <v>66</v>
      </c>
      <c r="T60" s="3" t="s">
        <v>66</v>
      </c>
      <c r="W60" s="18">
        <f t="shared" ref="W60:X60" si="62">(H60+J60+L60+N60)/4</f>
        <v>1</v>
      </c>
      <c r="X60" s="18">
        <f t="shared" si="62"/>
        <v>1</v>
      </c>
    </row>
    <row r="61">
      <c r="A61" s="12" t="s">
        <v>67</v>
      </c>
      <c r="B61" s="12" t="s">
        <v>28</v>
      </c>
      <c r="C61" s="12" t="s">
        <v>235</v>
      </c>
      <c r="D61" s="12" t="s">
        <v>68</v>
      </c>
      <c r="E61" s="11" t="s">
        <v>244</v>
      </c>
      <c r="F61" s="12" t="s">
        <v>70</v>
      </c>
      <c r="G61" s="10" t="s">
        <v>33</v>
      </c>
      <c r="H61" s="13">
        <v>1.0</v>
      </c>
      <c r="I61" s="14">
        <v>1.0</v>
      </c>
      <c r="J61" s="13">
        <v>1.0</v>
      </c>
      <c r="K61" s="14">
        <v>1.0</v>
      </c>
      <c r="L61" s="13">
        <v>1.0</v>
      </c>
      <c r="M61" s="14">
        <v>1.0</v>
      </c>
      <c r="N61" s="13">
        <v>1.0</v>
      </c>
      <c r="O61" s="14">
        <v>1.0</v>
      </c>
      <c r="P61" s="15">
        <f t="shared" si="5"/>
        <v>1</v>
      </c>
      <c r="R61" s="3" t="s">
        <v>66</v>
      </c>
      <c r="S61" s="3" t="s">
        <v>66</v>
      </c>
      <c r="T61" s="3" t="s">
        <v>66</v>
      </c>
      <c r="W61" s="18">
        <f t="shared" ref="W61:X61" si="63">(H61+J61+L61+N61)/4</f>
        <v>1</v>
      </c>
      <c r="X61" s="18">
        <f t="shared" si="63"/>
        <v>1</v>
      </c>
    </row>
    <row r="62">
      <c r="A62" s="12" t="s">
        <v>71</v>
      </c>
      <c r="B62" s="12" t="s">
        <v>28</v>
      </c>
      <c r="C62" s="12" t="s">
        <v>235</v>
      </c>
      <c r="D62" s="12" t="s">
        <v>72</v>
      </c>
      <c r="E62" s="11" t="s">
        <v>245</v>
      </c>
      <c r="F62" s="12" t="s">
        <v>74</v>
      </c>
      <c r="G62" s="10" t="s">
        <v>33</v>
      </c>
      <c r="H62" s="13">
        <v>0.5</v>
      </c>
      <c r="I62" s="14">
        <v>0.5</v>
      </c>
      <c r="J62" s="13">
        <v>1.0</v>
      </c>
      <c r="K62" s="14">
        <v>1.0</v>
      </c>
      <c r="L62" s="13">
        <v>0.5</v>
      </c>
      <c r="M62" s="14">
        <v>0.5</v>
      </c>
      <c r="N62" s="13">
        <v>0.5</v>
      </c>
      <c r="O62" s="14">
        <v>0.5</v>
      </c>
      <c r="P62" s="15">
        <f t="shared" si="5"/>
        <v>1</v>
      </c>
      <c r="R62" s="3" t="s">
        <v>66</v>
      </c>
      <c r="S62" s="3" t="s">
        <v>66</v>
      </c>
      <c r="T62" s="3" t="s">
        <v>66</v>
      </c>
      <c r="W62" s="18">
        <f t="shared" ref="W62:X62" si="64">(H62+J62+L62+N62)/4</f>
        <v>0.625</v>
      </c>
      <c r="X62" s="18">
        <f t="shared" si="64"/>
        <v>0.625</v>
      </c>
    </row>
    <row r="63">
      <c r="A63" s="12" t="s">
        <v>75</v>
      </c>
      <c r="B63" s="12" t="s">
        <v>28</v>
      </c>
      <c r="C63" s="12" t="s">
        <v>235</v>
      </c>
      <c r="D63" s="12" t="s">
        <v>76</v>
      </c>
      <c r="E63" s="11" t="s">
        <v>246</v>
      </c>
      <c r="F63" s="12" t="s">
        <v>78</v>
      </c>
      <c r="G63" s="10" t="s">
        <v>33</v>
      </c>
      <c r="H63" s="13">
        <v>1.0</v>
      </c>
      <c r="I63" s="14">
        <v>1.0</v>
      </c>
      <c r="J63" s="13">
        <v>1.0</v>
      </c>
      <c r="K63" s="14">
        <v>1.0</v>
      </c>
      <c r="L63" s="13">
        <v>1.0</v>
      </c>
      <c r="M63" s="14">
        <v>1.0</v>
      </c>
      <c r="N63" s="13">
        <v>1.0</v>
      </c>
      <c r="O63" s="14">
        <v>1.0</v>
      </c>
      <c r="P63" s="15">
        <f t="shared" si="5"/>
        <v>1</v>
      </c>
      <c r="R63" s="3" t="s">
        <v>66</v>
      </c>
      <c r="S63" s="3" t="s">
        <v>66</v>
      </c>
      <c r="T63" s="3" t="s">
        <v>66</v>
      </c>
      <c r="W63" s="18">
        <f t="shared" ref="W63:X63" si="65">(H63+J63+L63+N63)/4</f>
        <v>1</v>
      </c>
      <c r="X63" s="18">
        <f t="shared" si="65"/>
        <v>1</v>
      </c>
    </row>
    <row r="64">
      <c r="A64" s="12" t="s">
        <v>79</v>
      </c>
      <c r="B64" s="12" t="s">
        <v>28</v>
      </c>
      <c r="C64" s="12" t="s">
        <v>235</v>
      </c>
      <c r="D64" s="12" t="s">
        <v>80</v>
      </c>
      <c r="E64" s="11" t="s">
        <v>247</v>
      </c>
      <c r="F64" s="12" t="s">
        <v>82</v>
      </c>
      <c r="G64" s="10" t="s">
        <v>39</v>
      </c>
      <c r="H64" s="13">
        <v>0.5</v>
      </c>
      <c r="I64" s="14">
        <v>0.5</v>
      </c>
      <c r="J64" s="13">
        <v>1.0</v>
      </c>
      <c r="K64" s="14">
        <v>0.5</v>
      </c>
      <c r="L64" s="13">
        <v>0.0</v>
      </c>
      <c r="M64" s="14">
        <v>0.0</v>
      </c>
      <c r="N64" s="13">
        <v>0.5</v>
      </c>
      <c r="O64" s="14">
        <v>0.5</v>
      </c>
      <c r="P64" s="15">
        <f t="shared" si="5"/>
        <v>0.875</v>
      </c>
      <c r="R64" s="3" t="s">
        <v>66</v>
      </c>
      <c r="S64" s="3" t="s">
        <v>66</v>
      </c>
      <c r="T64" s="3" t="s">
        <v>66</v>
      </c>
      <c r="W64" s="18">
        <f t="shared" ref="W64:X64" si="66">(H64+J64+L64+N64)/4</f>
        <v>0.5</v>
      </c>
      <c r="X64" s="18">
        <f t="shared" si="66"/>
        <v>0.375</v>
      </c>
    </row>
    <row r="65">
      <c r="A65" s="12" t="s">
        <v>83</v>
      </c>
      <c r="B65" s="12" t="s">
        <v>28</v>
      </c>
      <c r="C65" s="12" t="s">
        <v>235</v>
      </c>
      <c r="D65" s="12" t="s">
        <v>84</v>
      </c>
      <c r="E65" s="11" t="s">
        <v>248</v>
      </c>
      <c r="F65" s="12" t="s">
        <v>86</v>
      </c>
      <c r="G65" s="10" t="s">
        <v>33</v>
      </c>
      <c r="H65" s="13">
        <v>1.0</v>
      </c>
      <c r="I65" s="14">
        <v>1.0</v>
      </c>
      <c r="J65" s="13">
        <v>1.0</v>
      </c>
      <c r="K65" s="14">
        <v>1.0</v>
      </c>
      <c r="L65" s="13">
        <v>1.0</v>
      </c>
      <c r="M65" s="14">
        <v>1.0</v>
      </c>
      <c r="N65" s="13">
        <v>1.0</v>
      </c>
      <c r="O65" s="14">
        <v>1.0</v>
      </c>
      <c r="P65" s="15">
        <f t="shared" si="5"/>
        <v>1</v>
      </c>
      <c r="R65" s="3" t="s">
        <v>66</v>
      </c>
      <c r="S65" s="3" t="s">
        <v>66</v>
      </c>
      <c r="T65" s="3" t="s">
        <v>66</v>
      </c>
      <c r="W65" s="18">
        <f t="shared" ref="W65:X65" si="67">(H65+J65+L65+N65)/4</f>
        <v>1</v>
      </c>
      <c r="X65" s="18">
        <f t="shared" si="67"/>
        <v>1</v>
      </c>
    </row>
    <row r="66">
      <c r="A66" s="12" t="s">
        <v>87</v>
      </c>
      <c r="B66" s="12" t="s">
        <v>28</v>
      </c>
      <c r="C66" s="12" t="s">
        <v>235</v>
      </c>
      <c r="D66" s="12" t="s">
        <v>88</v>
      </c>
      <c r="E66" s="11" t="s">
        <v>249</v>
      </c>
      <c r="F66" s="12" t="s">
        <v>90</v>
      </c>
      <c r="G66" s="10" t="s">
        <v>33</v>
      </c>
      <c r="H66" s="13">
        <v>1.0</v>
      </c>
      <c r="I66" s="14">
        <v>1.0</v>
      </c>
      <c r="J66" s="13">
        <v>1.0</v>
      </c>
      <c r="K66" s="14">
        <v>1.0</v>
      </c>
      <c r="L66" s="13">
        <v>1.0</v>
      </c>
      <c r="M66" s="14">
        <v>1.0</v>
      </c>
      <c r="N66" s="13">
        <v>1.0</v>
      </c>
      <c r="O66" s="14">
        <v>1.0</v>
      </c>
      <c r="P66" s="15">
        <f t="shared" si="5"/>
        <v>1</v>
      </c>
      <c r="R66" s="3" t="s">
        <v>66</v>
      </c>
      <c r="S66" s="3" t="s">
        <v>66</v>
      </c>
      <c r="T66" s="3" t="s">
        <v>66</v>
      </c>
      <c r="W66" s="18">
        <f t="shared" ref="W66:X66" si="68">(H66+J66+L66+N66)/4</f>
        <v>1</v>
      </c>
      <c r="X66" s="18">
        <f t="shared" si="68"/>
        <v>1</v>
      </c>
    </row>
    <row r="67">
      <c r="A67" s="12" t="s">
        <v>91</v>
      </c>
      <c r="B67" s="12" t="s">
        <v>28</v>
      </c>
      <c r="C67" s="12" t="s">
        <v>235</v>
      </c>
      <c r="D67" s="12" t="s">
        <v>92</v>
      </c>
      <c r="E67" s="11" t="s">
        <v>250</v>
      </c>
      <c r="F67" s="12" t="s">
        <v>94</v>
      </c>
      <c r="G67" s="10" t="s">
        <v>33</v>
      </c>
      <c r="H67" s="13">
        <v>1.0</v>
      </c>
      <c r="I67" s="14">
        <v>1.0</v>
      </c>
      <c r="J67" s="13">
        <v>1.0</v>
      </c>
      <c r="K67" s="14">
        <v>1.0</v>
      </c>
      <c r="L67" s="13">
        <v>1.0</v>
      </c>
      <c r="M67" s="14">
        <v>1.0</v>
      </c>
      <c r="N67" s="13">
        <v>1.0</v>
      </c>
      <c r="O67" s="14">
        <v>1.0</v>
      </c>
      <c r="P67" s="15">
        <f t="shared" si="5"/>
        <v>1</v>
      </c>
      <c r="R67" s="3" t="s">
        <v>66</v>
      </c>
      <c r="S67" s="3" t="s">
        <v>66</v>
      </c>
      <c r="T67" s="3" t="s">
        <v>66</v>
      </c>
      <c r="W67" s="18">
        <f t="shared" ref="W67:X67" si="69">(H67+J67+L67+N67)/4</f>
        <v>1</v>
      </c>
      <c r="X67" s="18">
        <f t="shared" si="69"/>
        <v>1</v>
      </c>
    </row>
    <row r="68">
      <c r="A68" s="12" t="s">
        <v>95</v>
      </c>
      <c r="B68" s="12" t="s">
        <v>28</v>
      </c>
      <c r="C68" s="12" t="s">
        <v>235</v>
      </c>
      <c r="D68" s="12" t="s">
        <v>96</v>
      </c>
      <c r="E68" s="11" t="s">
        <v>251</v>
      </c>
      <c r="F68" s="12" t="s">
        <v>98</v>
      </c>
      <c r="G68" s="10" t="s">
        <v>33</v>
      </c>
      <c r="H68" s="13">
        <v>1.0</v>
      </c>
      <c r="I68" s="14">
        <v>1.0</v>
      </c>
      <c r="J68" s="13">
        <v>1.0</v>
      </c>
      <c r="K68" s="14">
        <v>1.0</v>
      </c>
      <c r="L68" s="13">
        <v>1.0</v>
      </c>
      <c r="M68" s="14">
        <v>1.0</v>
      </c>
      <c r="N68" s="13">
        <v>1.0</v>
      </c>
      <c r="O68" s="14">
        <v>1.0</v>
      </c>
      <c r="P68" s="15">
        <f t="shared" si="5"/>
        <v>1</v>
      </c>
      <c r="R68" s="3" t="s">
        <v>66</v>
      </c>
      <c r="S68" s="3" t="s">
        <v>66</v>
      </c>
      <c r="T68" s="3" t="s">
        <v>66</v>
      </c>
      <c r="W68" s="18">
        <f t="shared" ref="W68:X68" si="70">(H68+J68+L68+N68)/4</f>
        <v>1</v>
      </c>
      <c r="X68" s="18">
        <f t="shared" si="70"/>
        <v>1</v>
      </c>
    </row>
    <row r="69">
      <c r="A69" s="12" t="s">
        <v>99</v>
      </c>
      <c r="B69" s="12" t="s">
        <v>28</v>
      </c>
      <c r="C69" s="12" t="s">
        <v>235</v>
      </c>
      <c r="D69" s="12" t="s">
        <v>100</v>
      </c>
      <c r="E69" s="11" t="s">
        <v>252</v>
      </c>
      <c r="F69" s="12" t="s">
        <v>102</v>
      </c>
      <c r="G69" s="10" t="s">
        <v>33</v>
      </c>
      <c r="H69" s="13">
        <v>1.0</v>
      </c>
      <c r="I69" s="14">
        <v>1.0</v>
      </c>
      <c r="J69" s="13">
        <v>1.0</v>
      </c>
      <c r="K69" s="14">
        <v>1.0</v>
      </c>
      <c r="L69" s="13">
        <v>1.0</v>
      </c>
      <c r="M69" s="14">
        <v>1.0</v>
      </c>
      <c r="N69" s="13">
        <v>1.0</v>
      </c>
      <c r="O69" s="14">
        <v>1.0</v>
      </c>
      <c r="P69" s="15">
        <f t="shared" si="5"/>
        <v>1</v>
      </c>
      <c r="R69" s="3" t="s">
        <v>66</v>
      </c>
      <c r="S69" s="3" t="s">
        <v>66</v>
      </c>
      <c r="T69" s="3" t="s">
        <v>66</v>
      </c>
      <c r="W69" s="18">
        <f t="shared" ref="W69:X69" si="71">(H69+J69+L69+N69)/4</f>
        <v>1</v>
      </c>
      <c r="X69" s="18">
        <f t="shared" si="71"/>
        <v>1</v>
      </c>
    </row>
    <row r="70">
      <c r="A70" s="12" t="s">
        <v>103</v>
      </c>
      <c r="B70" s="12" t="s">
        <v>28</v>
      </c>
      <c r="C70" s="12" t="s">
        <v>235</v>
      </c>
      <c r="D70" s="12" t="s">
        <v>104</v>
      </c>
      <c r="E70" s="11" t="s">
        <v>253</v>
      </c>
      <c r="F70" s="12" t="s">
        <v>106</v>
      </c>
      <c r="G70" s="10" t="s">
        <v>33</v>
      </c>
      <c r="H70" s="13">
        <v>1.0</v>
      </c>
      <c r="I70" s="14">
        <v>1.0</v>
      </c>
      <c r="J70" s="13">
        <v>1.0</v>
      </c>
      <c r="K70" s="14">
        <v>1.0</v>
      </c>
      <c r="L70" s="13">
        <v>1.0</v>
      </c>
      <c r="M70" s="14">
        <v>1.0</v>
      </c>
      <c r="N70" s="13">
        <v>1.0</v>
      </c>
      <c r="O70" s="14">
        <v>1.0</v>
      </c>
      <c r="P70" s="15">
        <f t="shared" si="5"/>
        <v>1</v>
      </c>
      <c r="R70" s="3" t="s">
        <v>66</v>
      </c>
      <c r="S70" s="3" t="s">
        <v>66</v>
      </c>
      <c r="T70" s="3" t="s">
        <v>66</v>
      </c>
      <c r="W70" s="18">
        <f t="shared" ref="W70:X70" si="72">(H70+J70+L70+N70)/4</f>
        <v>1</v>
      </c>
      <c r="X70" s="18">
        <f t="shared" si="72"/>
        <v>1</v>
      </c>
    </row>
    <row r="71">
      <c r="A71" s="12" t="s">
        <v>107</v>
      </c>
      <c r="B71" s="12" t="s">
        <v>28</v>
      </c>
      <c r="C71" s="12" t="s">
        <v>235</v>
      </c>
      <c r="D71" s="12" t="s">
        <v>108</v>
      </c>
      <c r="E71" s="11" t="s">
        <v>254</v>
      </c>
      <c r="F71" s="12" t="s">
        <v>110</v>
      </c>
      <c r="G71" s="10" t="s">
        <v>33</v>
      </c>
      <c r="H71" s="13">
        <v>0.5</v>
      </c>
      <c r="I71" s="14">
        <v>1.0</v>
      </c>
      <c r="J71" s="13">
        <v>0.0</v>
      </c>
      <c r="K71" s="14">
        <v>1.0</v>
      </c>
      <c r="L71" s="13">
        <v>0.5</v>
      </c>
      <c r="M71" s="14">
        <v>1.0</v>
      </c>
      <c r="N71" s="13">
        <v>1.0</v>
      </c>
      <c r="O71" s="14">
        <v>1.0</v>
      </c>
      <c r="P71" s="15">
        <f t="shared" si="5"/>
        <v>0.5</v>
      </c>
      <c r="R71" s="3" t="s">
        <v>66</v>
      </c>
      <c r="S71" s="3" t="s">
        <v>66</v>
      </c>
      <c r="T71" s="3" t="s">
        <v>66</v>
      </c>
      <c r="W71" s="18">
        <f t="shared" ref="W71:X71" si="73">(H71+J71+L71+N71)/4</f>
        <v>0.5</v>
      </c>
      <c r="X71" s="18">
        <f t="shared" si="73"/>
        <v>1</v>
      </c>
    </row>
    <row r="72">
      <c r="A72" s="12" t="s">
        <v>111</v>
      </c>
      <c r="B72" s="12" t="s">
        <v>28</v>
      </c>
      <c r="C72" s="12" t="s">
        <v>235</v>
      </c>
      <c r="D72" s="12" t="s">
        <v>112</v>
      </c>
      <c r="E72" s="11" t="s">
        <v>255</v>
      </c>
      <c r="F72" s="12" t="s">
        <v>114</v>
      </c>
      <c r="G72" s="10" t="s">
        <v>33</v>
      </c>
      <c r="H72" s="13">
        <v>1.0</v>
      </c>
      <c r="I72" s="14">
        <v>1.0</v>
      </c>
      <c r="J72" s="13">
        <v>1.0</v>
      </c>
      <c r="K72" s="14">
        <v>1.0</v>
      </c>
      <c r="L72" s="13">
        <v>1.0</v>
      </c>
      <c r="M72" s="14">
        <v>1.0</v>
      </c>
      <c r="N72" s="13">
        <v>1.0</v>
      </c>
      <c r="O72" s="14">
        <v>1.0</v>
      </c>
      <c r="P72" s="15">
        <f t="shared" si="5"/>
        <v>1</v>
      </c>
      <c r="R72" s="3" t="s">
        <v>66</v>
      </c>
      <c r="S72" s="3" t="s">
        <v>66</v>
      </c>
      <c r="T72" s="3" t="s">
        <v>66</v>
      </c>
      <c r="W72" s="18">
        <f t="shared" ref="W72:X72" si="74">(H72+J72+L72+N72)/4</f>
        <v>1</v>
      </c>
      <c r="X72" s="18">
        <f t="shared" si="74"/>
        <v>1</v>
      </c>
    </row>
    <row r="73">
      <c r="A73" s="12" t="s">
        <v>115</v>
      </c>
      <c r="B73" s="12" t="s">
        <v>28</v>
      </c>
      <c r="C73" s="12" t="s">
        <v>235</v>
      </c>
      <c r="D73" s="12" t="s">
        <v>116</v>
      </c>
      <c r="E73" s="11" t="s">
        <v>256</v>
      </c>
      <c r="F73" s="12" t="s">
        <v>118</v>
      </c>
      <c r="G73" s="10" t="s">
        <v>33</v>
      </c>
      <c r="H73" s="13">
        <v>1.0</v>
      </c>
      <c r="I73" s="14">
        <v>1.0</v>
      </c>
      <c r="J73" s="13">
        <v>1.0</v>
      </c>
      <c r="K73" s="14">
        <v>1.0</v>
      </c>
      <c r="L73" s="13">
        <v>1.0</v>
      </c>
      <c r="M73" s="14">
        <v>1.0</v>
      </c>
      <c r="N73" s="13">
        <v>1.0</v>
      </c>
      <c r="O73" s="14">
        <v>1.0</v>
      </c>
      <c r="P73" s="15">
        <f t="shared" si="5"/>
        <v>1</v>
      </c>
      <c r="R73" s="3" t="s">
        <v>66</v>
      </c>
      <c r="S73" s="3" t="s">
        <v>66</v>
      </c>
      <c r="T73" s="3" t="s">
        <v>66</v>
      </c>
      <c r="W73" s="18">
        <f t="shared" ref="W73:X73" si="75">(H73+J73+L73+N73)/4</f>
        <v>1</v>
      </c>
      <c r="X73" s="18">
        <f t="shared" si="75"/>
        <v>1</v>
      </c>
    </row>
    <row r="74">
      <c r="A74" s="12" t="s">
        <v>119</v>
      </c>
      <c r="B74" s="12" t="s">
        <v>28</v>
      </c>
      <c r="C74" s="12" t="s">
        <v>235</v>
      </c>
      <c r="D74" s="12" t="s">
        <v>120</v>
      </c>
      <c r="E74" s="11" t="s">
        <v>257</v>
      </c>
      <c r="F74" s="12" t="s">
        <v>122</v>
      </c>
      <c r="G74" s="10" t="s">
        <v>33</v>
      </c>
      <c r="H74" s="13">
        <v>1.0</v>
      </c>
      <c r="I74" s="14">
        <v>1.0</v>
      </c>
      <c r="J74" s="13">
        <v>1.0</v>
      </c>
      <c r="K74" s="14">
        <v>1.0</v>
      </c>
      <c r="L74" s="13">
        <v>1.0</v>
      </c>
      <c r="M74" s="14">
        <v>1.0</v>
      </c>
      <c r="N74" s="13">
        <v>1.0</v>
      </c>
      <c r="O74" s="14">
        <v>1.0</v>
      </c>
      <c r="P74" s="15">
        <f t="shared" si="5"/>
        <v>1</v>
      </c>
      <c r="R74" s="3" t="s">
        <v>66</v>
      </c>
      <c r="S74" s="3" t="s">
        <v>66</v>
      </c>
      <c r="T74" s="3" t="s">
        <v>66</v>
      </c>
      <c r="W74" s="18">
        <f t="shared" ref="W74:X74" si="76">(H74+J74+L74+N74)/4</f>
        <v>1</v>
      </c>
      <c r="X74" s="18">
        <f t="shared" si="76"/>
        <v>1</v>
      </c>
    </row>
    <row r="75">
      <c r="A75" s="12" t="s">
        <v>123</v>
      </c>
      <c r="B75" s="12" t="s">
        <v>28</v>
      </c>
      <c r="C75" s="12" t="s">
        <v>235</v>
      </c>
      <c r="D75" s="12" t="s">
        <v>124</v>
      </c>
      <c r="E75" s="11" t="s">
        <v>258</v>
      </c>
      <c r="F75" s="12" t="s">
        <v>126</v>
      </c>
      <c r="G75" s="10" t="s">
        <v>33</v>
      </c>
      <c r="H75" s="13">
        <v>1.0</v>
      </c>
      <c r="I75" s="14">
        <v>1.0</v>
      </c>
      <c r="J75" s="13">
        <v>1.0</v>
      </c>
      <c r="K75" s="14">
        <v>1.0</v>
      </c>
      <c r="L75" s="13">
        <v>1.0</v>
      </c>
      <c r="M75" s="14">
        <v>1.0</v>
      </c>
      <c r="N75" s="13">
        <v>1.0</v>
      </c>
      <c r="O75" s="14">
        <v>1.0</v>
      </c>
      <c r="P75" s="15">
        <f t="shared" si="5"/>
        <v>1</v>
      </c>
      <c r="R75" s="3" t="s">
        <v>66</v>
      </c>
      <c r="S75" s="3" t="s">
        <v>66</v>
      </c>
      <c r="T75" s="3" t="s">
        <v>66</v>
      </c>
      <c r="W75" s="18">
        <f t="shared" ref="W75:X75" si="77">(H75+J75+L75+N75)/4</f>
        <v>1</v>
      </c>
      <c r="X75" s="18">
        <f t="shared" si="77"/>
        <v>1</v>
      </c>
    </row>
    <row r="76">
      <c r="A76" s="12" t="s">
        <v>127</v>
      </c>
      <c r="B76" s="12" t="s">
        <v>28</v>
      </c>
      <c r="C76" s="12" t="s">
        <v>235</v>
      </c>
      <c r="D76" s="12" t="s">
        <v>128</v>
      </c>
      <c r="E76" s="11" t="s">
        <v>259</v>
      </c>
      <c r="F76" s="12" t="s">
        <v>130</v>
      </c>
      <c r="G76" s="10" t="s">
        <v>33</v>
      </c>
      <c r="H76" s="13">
        <v>1.0</v>
      </c>
      <c r="I76" s="14">
        <v>1.0</v>
      </c>
      <c r="J76" s="13">
        <v>1.0</v>
      </c>
      <c r="K76" s="14">
        <v>1.0</v>
      </c>
      <c r="L76" s="13">
        <v>1.0</v>
      </c>
      <c r="M76" s="14">
        <v>1.0</v>
      </c>
      <c r="N76" s="13">
        <v>1.0</v>
      </c>
      <c r="O76" s="14">
        <v>1.0</v>
      </c>
      <c r="P76" s="15">
        <f t="shared" si="5"/>
        <v>1</v>
      </c>
      <c r="R76" s="3" t="s">
        <v>66</v>
      </c>
      <c r="S76" s="3" t="s">
        <v>66</v>
      </c>
      <c r="T76" s="3" t="s">
        <v>66</v>
      </c>
      <c r="W76" s="18">
        <f t="shared" ref="W76:X76" si="78">(H76+J76+L76+N76)/4</f>
        <v>1</v>
      </c>
      <c r="X76" s="18">
        <f t="shared" si="78"/>
        <v>1</v>
      </c>
    </row>
    <row r="77">
      <c r="A77" s="12" t="s">
        <v>131</v>
      </c>
      <c r="B77" s="12" t="s">
        <v>28</v>
      </c>
      <c r="C77" s="12" t="s">
        <v>235</v>
      </c>
      <c r="D77" s="12" t="s">
        <v>132</v>
      </c>
      <c r="E77" s="11" t="s">
        <v>260</v>
      </c>
      <c r="F77" s="12" t="s">
        <v>134</v>
      </c>
      <c r="G77" s="10" t="s">
        <v>33</v>
      </c>
      <c r="H77" s="13">
        <v>1.0</v>
      </c>
      <c r="I77" s="14">
        <v>1.0</v>
      </c>
      <c r="J77" s="13">
        <v>1.0</v>
      </c>
      <c r="K77" s="14">
        <v>1.0</v>
      </c>
      <c r="L77" s="13">
        <v>1.0</v>
      </c>
      <c r="M77" s="14">
        <v>1.0</v>
      </c>
      <c r="N77" s="13">
        <v>1.0</v>
      </c>
      <c r="O77" s="14">
        <v>1.0</v>
      </c>
      <c r="P77" s="15">
        <f t="shared" si="5"/>
        <v>1</v>
      </c>
      <c r="R77" s="3" t="s">
        <v>66</v>
      </c>
      <c r="S77" s="3" t="s">
        <v>66</v>
      </c>
      <c r="T77" s="3" t="s">
        <v>66</v>
      </c>
      <c r="W77" s="18">
        <f t="shared" ref="W77:X77" si="79">(H77+J77+L77+N77)/4</f>
        <v>1</v>
      </c>
      <c r="X77" s="18">
        <f t="shared" si="79"/>
        <v>1</v>
      </c>
    </row>
    <row r="78">
      <c r="A78" s="12" t="s">
        <v>135</v>
      </c>
      <c r="B78" s="12" t="s">
        <v>28</v>
      </c>
      <c r="C78" s="12" t="s">
        <v>235</v>
      </c>
      <c r="D78" s="12" t="s">
        <v>136</v>
      </c>
      <c r="E78" s="11" t="s">
        <v>261</v>
      </c>
      <c r="F78" s="12" t="s">
        <v>138</v>
      </c>
      <c r="G78" s="10" t="s">
        <v>33</v>
      </c>
      <c r="H78" s="13">
        <v>1.0</v>
      </c>
      <c r="I78" s="14">
        <v>1.0</v>
      </c>
      <c r="J78" s="13">
        <v>1.0</v>
      </c>
      <c r="K78" s="14">
        <v>1.0</v>
      </c>
      <c r="L78" s="13">
        <v>1.0</v>
      </c>
      <c r="M78" s="14">
        <v>1.0</v>
      </c>
      <c r="N78" s="13">
        <v>1.0</v>
      </c>
      <c r="O78" s="14">
        <v>1.0</v>
      </c>
      <c r="P78" s="15">
        <f t="shared" si="5"/>
        <v>1</v>
      </c>
      <c r="R78" s="3" t="s">
        <v>66</v>
      </c>
      <c r="S78" s="3" t="s">
        <v>66</v>
      </c>
      <c r="T78" s="3" t="s">
        <v>66</v>
      </c>
      <c r="W78" s="18">
        <f t="shared" ref="W78:X78" si="80">(H78+J78+L78+N78)/4</f>
        <v>1</v>
      </c>
      <c r="X78" s="18">
        <f t="shared" si="80"/>
        <v>1</v>
      </c>
    </row>
    <row r="79">
      <c r="A79" s="12" t="s">
        <v>139</v>
      </c>
      <c r="B79" s="12" t="s">
        <v>28</v>
      </c>
      <c r="C79" s="12" t="s">
        <v>235</v>
      </c>
      <c r="D79" s="12" t="s">
        <v>140</v>
      </c>
      <c r="E79" s="11" t="s">
        <v>262</v>
      </c>
      <c r="F79" s="12" t="s">
        <v>142</v>
      </c>
      <c r="G79" s="10" t="s">
        <v>33</v>
      </c>
      <c r="H79" s="13">
        <v>1.0</v>
      </c>
      <c r="I79" s="14">
        <v>1.0</v>
      </c>
      <c r="J79" s="13">
        <v>1.0</v>
      </c>
      <c r="K79" s="14">
        <v>1.0</v>
      </c>
      <c r="L79" s="13">
        <v>1.0</v>
      </c>
      <c r="M79" s="14">
        <v>1.0</v>
      </c>
      <c r="N79" s="13">
        <v>1.0</v>
      </c>
      <c r="O79" s="14">
        <v>1.0</v>
      </c>
      <c r="P79" s="15">
        <f t="shared" si="5"/>
        <v>1</v>
      </c>
      <c r="R79" s="3" t="s">
        <v>66</v>
      </c>
      <c r="S79" s="3" t="s">
        <v>66</v>
      </c>
      <c r="T79" s="3" t="s">
        <v>66</v>
      </c>
      <c r="W79" s="18">
        <f t="shared" ref="W79:X79" si="81">(H79+J79+L79+N79)/4</f>
        <v>1</v>
      </c>
      <c r="X79" s="18">
        <f t="shared" si="81"/>
        <v>1</v>
      </c>
    </row>
    <row r="80">
      <c r="A80" s="12" t="s">
        <v>143</v>
      </c>
      <c r="B80" s="12" t="s">
        <v>28</v>
      </c>
      <c r="C80" s="12" t="s">
        <v>235</v>
      </c>
      <c r="D80" s="12" t="s">
        <v>144</v>
      </c>
      <c r="E80" s="11" t="s">
        <v>263</v>
      </c>
      <c r="F80" s="12" t="s">
        <v>146</v>
      </c>
      <c r="G80" s="10" t="s">
        <v>33</v>
      </c>
      <c r="H80" s="13">
        <v>1.0</v>
      </c>
      <c r="I80" s="14">
        <v>1.0</v>
      </c>
      <c r="J80" s="13">
        <v>1.0</v>
      </c>
      <c r="K80" s="14">
        <v>1.0</v>
      </c>
      <c r="L80" s="13">
        <v>1.0</v>
      </c>
      <c r="M80" s="14">
        <v>1.0</v>
      </c>
      <c r="N80" s="13">
        <v>1.0</v>
      </c>
      <c r="O80" s="14">
        <v>1.0</v>
      </c>
      <c r="P80" s="15">
        <f t="shared" si="5"/>
        <v>1</v>
      </c>
      <c r="R80" s="3" t="s">
        <v>66</v>
      </c>
      <c r="S80" s="3" t="s">
        <v>66</v>
      </c>
      <c r="T80" s="3" t="s">
        <v>66</v>
      </c>
      <c r="W80" s="18">
        <f t="shared" ref="W80:X80" si="82">(H80+J80+L80+N80)/4</f>
        <v>1</v>
      </c>
      <c r="X80" s="18">
        <f t="shared" si="82"/>
        <v>1</v>
      </c>
    </row>
    <row r="81">
      <c r="A81" s="12" t="s">
        <v>147</v>
      </c>
      <c r="B81" s="12" t="s">
        <v>28</v>
      </c>
      <c r="C81" s="12" t="s">
        <v>235</v>
      </c>
      <c r="D81" s="12" t="s">
        <v>148</v>
      </c>
      <c r="E81" s="11" t="s">
        <v>264</v>
      </c>
      <c r="F81" s="12" t="s">
        <v>150</v>
      </c>
      <c r="G81" s="10" t="s">
        <v>33</v>
      </c>
      <c r="H81" s="13">
        <v>1.0</v>
      </c>
      <c r="I81" s="14">
        <v>1.0</v>
      </c>
      <c r="J81" s="13">
        <v>1.0</v>
      </c>
      <c r="K81" s="14">
        <v>1.0</v>
      </c>
      <c r="L81" s="13">
        <v>1.0</v>
      </c>
      <c r="M81" s="14">
        <v>1.0</v>
      </c>
      <c r="N81" s="13">
        <v>1.0</v>
      </c>
      <c r="O81" s="14">
        <v>1.0</v>
      </c>
      <c r="P81" s="15">
        <f t="shared" si="5"/>
        <v>1</v>
      </c>
      <c r="R81" s="3" t="s">
        <v>66</v>
      </c>
      <c r="S81" s="3" t="s">
        <v>66</v>
      </c>
      <c r="T81" s="3" t="s">
        <v>66</v>
      </c>
      <c r="W81" s="18">
        <f t="shared" ref="W81:X81" si="83">(H81+J81+L81+N81)/4</f>
        <v>1</v>
      </c>
      <c r="X81" s="18">
        <f t="shared" si="83"/>
        <v>1</v>
      </c>
    </row>
    <row r="82">
      <c r="A82" s="12" t="s">
        <v>151</v>
      </c>
      <c r="B82" s="12" t="s">
        <v>28</v>
      </c>
      <c r="C82" s="12" t="s">
        <v>235</v>
      </c>
      <c r="D82" s="12" t="s">
        <v>152</v>
      </c>
      <c r="E82" s="11" t="s">
        <v>265</v>
      </c>
      <c r="F82" s="12" t="s">
        <v>154</v>
      </c>
      <c r="G82" s="10" t="s">
        <v>33</v>
      </c>
      <c r="H82" s="13">
        <v>1.0</v>
      </c>
      <c r="I82" s="14">
        <v>0.5</v>
      </c>
      <c r="J82" s="13">
        <v>1.0</v>
      </c>
      <c r="K82" s="14">
        <v>1.0</v>
      </c>
      <c r="L82" s="13">
        <v>1.0</v>
      </c>
      <c r="M82" s="14">
        <v>0.0</v>
      </c>
      <c r="N82" s="13">
        <v>1.0</v>
      </c>
      <c r="O82" s="14">
        <v>0.5</v>
      </c>
      <c r="P82" s="15">
        <f t="shared" si="5"/>
        <v>0.5</v>
      </c>
      <c r="R82" s="3" t="s">
        <v>66</v>
      </c>
      <c r="S82" s="3" t="s">
        <v>66</v>
      </c>
      <c r="T82" s="3" t="s">
        <v>66</v>
      </c>
      <c r="W82" s="18">
        <f t="shared" ref="W82:X82" si="84">(H82+J82+L82+N82)/4</f>
        <v>1</v>
      </c>
      <c r="X82" s="18">
        <f t="shared" si="84"/>
        <v>0.5</v>
      </c>
    </row>
    <row r="83">
      <c r="A83" s="12" t="s">
        <v>155</v>
      </c>
      <c r="B83" s="12" t="s">
        <v>28</v>
      </c>
      <c r="C83" s="12" t="s">
        <v>235</v>
      </c>
      <c r="D83" s="12" t="s">
        <v>156</v>
      </c>
      <c r="E83" s="11" t="s">
        <v>266</v>
      </c>
      <c r="F83" s="12" t="s">
        <v>158</v>
      </c>
      <c r="G83" s="10" t="s">
        <v>33</v>
      </c>
      <c r="H83" s="13">
        <v>1.0</v>
      </c>
      <c r="I83" s="14">
        <v>1.0</v>
      </c>
      <c r="J83" s="13">
        <v>1.0</v>
      </c>
      <c r="K83" s="14">
        <v>1.0</v>
      </c>
      <c r="L83" s="13">
        <v>1.0</v>
      </c>
      <c r="M83" s="14">
        <v>1.0</v>
      </c>
      <c r="N83" s="13">
        <v>1.0</v>
      </c>
      <c r="O83" s="14">
        <v>1.0</v>
      </c>
      <c r="P83" s="15">
        <f t="shared" si="5"/>
        <v>1</v>
      </c>
      <c r="R83" s="3" t="s">
        <v>66</v>
      </c>
      <c r="S83" s="3" t="s">
        <v>66</v>
      </c>
      <c r="T83" s="3" t="s">
        <v>66</v>
      </c>
      <c r="W83" s="18">
        <f t="shared" ref="W83:X83" si="85">(H83+J83+L83+N83)/4</f>
        <v>1</v>
      </c>
      <c r="X83" s="18">
        <f t="shared" si="85"/>
        <v>1</v>
      </c>
    </row>
    <row r="84">
      <c r="A84" s="12" t="s">
        <v>159</v>
      </c>
      <c r="B84" s="12" t="s">
        <v>28</v>
      </c>
      <c r="C84" s="12" t="s">
        <v>235</v>
      </c>
      <c r="D84" s="12" t="s">
        <v>160</v>
      </c>
      <c r="E84" s="11" t="s">
        <v>267</v>
      </c>
      <c r="F84" s="12" t="s">
        <v>162</v>
      </c>
      <c r="G84" s="10" t="s">
        <v>33</v>
      </c>
      <c r="H84" s="13">
        <v>1.0</v>
      </c>
      <c r="I84" s="14">
        <v>1.0</v>
      </c>
      <c r="J84" s="13">
        <v>1.0</v>
      </c>
      <c r="K84" s="14">
        <v>1.0</v>
      </c>
      <c r="L84" s="13">
        <v>1.0</v>
      </c>
      <c r="M84" s="14">
        <v>1.0</v>
      </c>
      <c r="N84" s="13">
        <v>1.0</v>
      </c>
      <c r="O84" s="14">
        <v>1.0</v>
      </c>
      <c r="P84" s="15">
        <f t="shared" si="5"/>
        <v>1</v>
      </c>
      <c r="R84" s="3" t="s">
        <v>66</v>
      </c>
      <c r="S84" s="3" t="s">
        <v>66</v>
      </c>
      <c r="T84" s="3" t="s">
        <v>66</v>
      </c>
      <c r="W84" s="18">
        <f t="shared" ref="W84:X84" si="86">(H84+J84+L84+N84)/4</f>
        <v>1</v>
      </c>
      <c r="X84" s="18">
        <f t="shared" si="86"/>
        <v>1</v>
      </c>
    </row>
    <row r="85">
      <c r="A85" s="12" t="s">
        <v>163</v>
      </c>
      <c r="B85" s="12" t="s">
        <v>28</v>
      </c>
      <c r="C85" s="12" t="s">
        <v>235</v>
      </c>
      <c r="D85" s="12" t="s">
        <v>164</v>
      </c>
      <c r="E85" s="11" t="s">
        <v>268</v>
      </c>
      <c r="F85" s="12" t="s">
        <v>166</v>
      </c>
      <c r="G85" s="10" t="s">
        <v>33</v>
      </c>
      <c r="H85" s="13">
        <v>1.0</v>
      </c>
      <c r="I85" s="14">
        <v>1.0</v>
      </c>
      <c r="J85" s="13">
        <v>1.0</v>
      </c>
      <c r="K85" s="14">
        <v>1.0</v>
      </c>
      <c r="L85" s="13">
        <v>1.0</v>
      </c>
      <c r="M85" s="14">
        <v>1.0</v>
      </c>
      <c r="N85" s="13">
        <v>1.0</v>
      </c>
      <c r="O85" s="14">
        <v>1.0</v>
      </c>
      <c r="P85" s="15">
        <f t="shared" si="5"/>
        <v>1</v>
      </c>
      <c r="R85" s="3" t="s">
        <v>66</v>
      </c>
      <c r="S85" s="3" t="s">
        <v>66</v>
      </c>
      <c r="T85" s="3" t="s">
        <v>66</v>
      </c>
      <c r="W85" s="18">
        <f t="shared" ref="W85:X85" si="87">(H85+J85+L85+N85)/4</f>
        <v>1</v>
      </c>
      <c r="X85" s="18">
        <f t="shared" si="87"/>
        <v>1</v>
      </c>
    </row>
    <row r="86">
      <c r="A86" s="12" t="s">
        <v>167</v>
      </c>
      <c r="B86" s="12" t="s">
        <v>28</v>
      </c>
      <c r="C86" s="12" t="s">
        <v>235</v>
      </c>
      <c r="D86" s="12" t="s">
        <v>168</v>
      </c>
      <c r="E86" s="11" t="s">
        <v>269</v>
      </c>
      <c r="F86" s="12" t="s">
        <v>170</v>
      </c>
      <c r="G86" s="10" t="s">
        <v>33</v>
      </c>
      <c r="H86" s="13">
        <v>1.0</v>
      </c>
      <c r="I86" s="14">
        <v>1.0</v>
      </c>
      <c r="J86" s="13">
        <v>1.0</v>
      </c>
      <c r="K86" s="14">
        <v>1.0</v>
      </c>
      <c r="L86" s="13">
        <v>1.0</v>
      </c>
      <c r="M86" s="14">
        <v>1.0</v>
      </c>
      <c r="N86" s="13">
        <v>1.0</v>
      </c>
      <c r="O86" s="14">
        <v>1.0</v>
      </c>
      <c r="P86" s="15">
        <f t="shared" si="5"/>
        <v>1</v>
      </c>
      <c r="R86" s="3" t="s">
        <v>66</v>
      </c>
      <c r="S86" s="3" t="s">
        <v>66</v>
      </c>
      <c r="T86" s="3" t="s">
        <v>66</v>
      </c>
      <c r="W86" s="18">
        <f t="shared" ref="W86:X86" si="88">(H86+J86+L86+N86)/4</f>
        <v>1</v>
      </c>
      <c r="X86" s="18">
        <f t="shared" si="88"/>
        <v>1</v>
      </c>
    </row>
    <row r="87">
      <c r="A87" s="12" t="s">
        <v>171</v>
      </c>
      <c r="B87" s="12" t="s">
        <v>28</v>
      </c>
      <c r="C87" s="12" t="s">
        <v>235</v>
      </c>
      <c r="D87" s="12" t="s">
        <v>172</v>
      </c>
      <c r="E87" s="11" t="s">
        <v>270</v>
      </c>
      <c r="F87" s="12" t="s">
        <v>174</v>
      </c>
      <c r="G87" s="10" t="s">
        <v>33</v>
      </c>
      <c r="H87" s="13">
        <v>1.0</v>
      </c>
      <c r="I87" s="14">
        <v>1.0</v>
      </c>
      <c r="J87" s="13">
        <v>1.0</v>
      </c>
      <c r="K87" s="14">
        <v>1.0</v>
      </c>
      <c r="L87" s="13">
        <v>1.0</v>
      </c>
      <c r="M87" s="14">
        <v>1.0</v>
      </c>
      <c r="N87" s="13">
        <v>1.0</v>
      </c>
      <c r="O87" s="14">
        <v>1.0</v>
      </c>
      <c r="P87" s="15">
        <f t="shared" si="5"/>
        <v>1</v>
      </c>
      <c r="R87" s="3" t="s">
        <v>66</v>
      </c>
      <c r="S87" s="3" t="s">
        <v>66</v>
      </c>
      <c r="T87" s="3" t="s">
        <v>66</v>
      </c>
      <c r="W87" s="18">
        <f t="shared" ref="W87:X87" si="89">(H87+J87+L87+N87)/4</f>
        <v>1</v>
      </c>
      <c r="X87" s="18">
        <f t="shared" si="89"/>
        <v>1</v>
      </c>
    </row>
    <row r="88">
      <c r="A88" s="12" t="s">
        <v>175</v>
      </c>
      <c r="B88" s="12" t="s">
        <v>28</v>
      </c>
      <c r="C88" s="12" t="s">
        <v>235</v>
      </c>
      <c r="D88" s="12" t="s">
        <v>176</v>
      </c>
      <c r="E88" s="11" t="s">
        <v>271</v>
      </c>
      <c r="F88" s="12" t="s">
        <v>178</v>
      </c>
      <c r="G88" s="10" t="s">
        <v>33</v>
      </c>
      <c r="H88" s="13">
        <v>1.0</v>
      </c>
      <c r="I88" s="14">
        <v>1.0</v>
      </c>
      <c r="J88" s="13">
        <v>1.0</v>
      </c>
      <c r="K88" s="14">
        <v>1.0</v>
      </c>
      <c r="L88" s="13">
        <v>1.0</v>
      </c>
      <c r="M88" s="14">
        <v>1.0</v>
      </c>
      <c r="N88" s="13">
        <v>1.0</v>
      </c>
      <c r="O88" s="14">
        <v>1.0</v>
      </c>
      <c r="P88" s="15">
        <f t="shared" si="5"/>
        <v>1</v>
      </c>
      <c r="R88" s="3" t="s">
        <v>66</v>
      </c>
      <c r="S88" s="3" t="s">
        <v>66</v>
      </c>
      <c r="T88" s="3" t="s">
        <v>66</v>
      </c>
      <c r="W88" s="18">
        <f t="shared" ref="W88:X88" si="90">(H88+J88+L88+N88)/4</f>
        <v>1</v>
      </c>
      <c r="X88" s="18">
        <f t="shared" si="90"/>
        <v>1</v>
      </c>
    </row>
    <row r="89">
      <c r="A89" s="12" t="s">
        <v>179</v>
      </c>
      <c r="B89" s="12" t="s">
        <v>28</v>
      </c>
      <c r="C89" s="12" t="s">
        <v>235</v>
      </c>
      <c r="D89" s="12" t="s">
        <v>180</v>
      </c>
      <c r="E89" s="11" t="s">
        <v>272</v>
      </c>
      <c r="F89" s="12" t="s">
        <v>182</v>
      </c>
      <c r="G89" s="10" t="s">
        <v>33</v>
      </c>
      <c r="H89" s="13">
        <v>1.0</v>
      </c>
      <c r="I89" s="14">
        <v>1.0</v>
      </c>
      <c r="J89" s="13">
        <v>1.0</v>
      </c>
      <c r="K89" s="14">
        <v>1.0</v>
      </c>
      <c r="L89" s="13">
        <v>1.0</v>
      </c>
      <c r="M89" s="14">
        <v>1.0</v>
      </c>
      <c r="N89" s="13">
        <v>1.0</v>
      </c>
      <c r="O89" s="14">
        <v>1.0</v>
      </c>
      <c r="P89" s="15">
        <f t="shared" si="5"/>
        <v>1</v>
      </c>
      <c r="R89" s="3" t="s">
        <v>66</v>
      </c>
      <c r="S89" s="3" t="s">
        <v>66</v>
      </c>
      <c r="T89" s="3" t="s">
        <v>66</v>
      </c>
      <c r="W89" s="18">
        <f t="shared" ref="W89:X89" si="91">(H89+J89+L89+N89)/4</f>
        <v>1</v>
      </c>
      <c r="X89" s="18">
        <f t="shared" si="91"/>
        <v>1</v>
      </c>
    </row>
    <row r="90">
      <c r="A90" s="12" t="s">
        <v>183</v>
      </c>
      <c r="B90" s="12" t="s">
        <v>28</v>
      </c>
      <c r="C90" s="12" t="s">
        <v>235</v>
      </c>
      <c r="D90" s="12" t="s">
        <v>184</v>
      </c>
      <c r="E90" s="11" t="s">
        <v>273</v>
      </c>
      <c r="F90" s="12" t="s">
        <v>186</v>
      </c>
      <c r="G90" s="10" t="s">
        <v>33</v>
      </c>
      <c r="H90" s="13">
        <v>1.0</v>
      </c>
      <c r="I90" s="14">
        <v>1.0</v>
      </c>
      <c r="J90" s="13">
        <v>1.0</v>
      </c>
      <c r="K90" s="14">
        <v>1.0</v>
      </c>
      <c r="L90" s="13">
        <v>1.0</v>
      </c>
      <c r="M90" s="14">
        <v>1.0</v>
      </c>
      <c r="N90" s="13">
        <v>1.0</v>
      </c>
      <c r="O90" s="14">
        <v>1.0</v>
      </c>
      <c r="P90" s="15">
        <f t="shared" si="5"/>
        <v>1</v>
      </c>
      <c r="R90" s="3" t="s">
        <v>66</v>
      </c>
      <c r="S90" s="3" t="s">
        <v>66</v>
      </c>
      <c r="T90" s="3" t="s">
        <v>66</v>
      </c>
      <c r="W90" s="18">
        <f t="shared" ref="W90:X90" si="92">(H90+J90+L90+N90)/4</f>
        <v>1</v>
      </c>
      <c r="X90" s="18">
        <f t="shared" si="92"/>
        <v>1</v>
      </c>
    </row>
    <row r="91">
      <c r="A91" s="12" t="s">
        <v>187</v>
      </c>
      <c r="B91" s="12" t="s">
        <v>28</v>
      </c>
      <c r="C91" s="12" t="s">
        <v>235</v>
      </c>
      <c r="D91" s="12" t="s">
        <v>188</v>
      </c>
      <c r="E91" s="11" t="s">
        <v>274</v>
      </c>
      <c r="F91" s="12" t="s">
        <v>190</v>
      </c>
      <c r="G91" s="10" t="s">
        <v>33</v>
      </c>
      <c r="H91" s="13">
        <v>1.0</v>
      </c>
      <c r="I91" s="14">
        <v>1.0</v>
      </c>
      <c r="J91" s="13">
        <v>1.0</v>
      </c>
      <c r="K91" s="14">
        <v>1.0</v>
      </c>
      <c r="L91" s="13">
        <v>1.0</v>
      </c>
      <c r="M91" s="14">
        <v>1.0</v>
      </c>
      <c r="N91" s="13">
        <v>1.0</v>
      </c>
      <c r="O91" s="14">
        <v>1.0</v>
      </c>
      <c r="P91" s="15">
        <f t="shared" si="5"/>
        <v>1</v>
      </c>
      <c r="R91" s="3" t="s">
        <v>66</v>
      </c>
      <c r="S91" s="3" t="s">
        <v>66</v>
      </c>
      <c r="T91" s="3" t="s">
        <v>66</v>
      </c>
      <c r="W91" s="18">
        <f t="shared" ref="W91:X91" si="93">(H91+J91+L91+N91)/4</f>
        <v>1</v>
      </c>
      <c r="X91" s="18">
        <f t="shared" si="93"/>
        <v>1</v>
      </c>
    </row>
    <row r="92">
      <c r="A92" s="12" t="s">
        <v>191</v>
      </c>
      <c r="B92" s="12" t="s">
        <v>28</v>
      </c>
      <c r="C92" s="12" t="s">
        <v>235</v>
      </c>
      <c r="D92" s="12" t="s">
        <v>192</v>
      </c>
      <c r="E92" s="11" t="s">
        <v>275</v>
      </c>
      <c r="F92" s="12" t="s">
        <v>194</v>
      </c>
      <c r="G92" s="10" t="s">
        <v>33</v>
      </c>
      <c r="H92" s="13">
        <v>1.0</v>
      </c>
      <c r="I92" s="14">
        <v>1.0</v>
      </c>
      <c r="J92" s="13">
        <v>1.0</v>
      </c>
      <c r="K92" s="14">
        <v>1.0</v>
      </c>
      <c r="L92" s="13">
        <v>1.0</v>
      </c>
      <c r="M92" s="14">
        <v>1.0</v>
      </c>
      <c r="N92" s="13">
        <v>1.0</v>
      </c>
      <c r="O92" s="14">
        <v>1.0</v>
      </c>
      <c r="P92" s="15">
        <f t="shared" si="5"/>
        <v>1</v>
      </c>
      <c r="R92" s="3" t="s">
        <v>66</v>
      </c>
      <c r="S92" s="3" t="s">
        <v>66</v>
      </c>
      <c r="T92" s="3" t="s">
        <v>66</v>
      </c>
      <c r="W92" s="18">
        <f t="shared" ref="W92:X92" si="94">(H92+J92+L92+N92)/4</f>
        <v>1</v>
      </c>
      <c r="X92" s="18">
        <f t="shared" si="94"/>
        <v>1</v>
      </c>
    </row>
    <row r="93">
      <c r="A93" s="12" t="s">
        <v>195</v>
      </c>
      <c r="B93" s="12" t="s">
        <v>28</v>
      </c>
      <c r="C93" s="12" t="s">
        <v>235</v>
      </c>
      <c r="D93" s="12" t="s">
        <v>196</v>
      </c>
      <c r="E93" s="11" t="s">
        <v>276</v>
      </c>
      <c r="F93" s="12" t="s">
        <v>198</v>
      </c>
      <c r="G93" s="10" t="s">
        <v>33</v>
      </c>
      <c r="H93" s="13">
        <v>1.0</v>
      </c>
      <c r="I93" s="14">
        <v>1.0</v>
      </c>
      <c r="J93" s="13">
        <v>1.0</v>
      </c>
      <c r="K93" s="14">
        <v>1.0</v>
      </c>
      <c r="L93" s="13">
        <v>1.0</v>
      </c>
      <c r="M93" s="14">
        <v>1.0</v>
      </c>
      <c r="N93" s="13">
        <v>1.0</v>
      </c>
      <c r="O93" s="14">
        <v>1.0</v>
      </c>
      <c r="P93" s="15">
        <f t="shared" si="5"/>
        <v>1</v>
      </c>
      <c r="R93" s="3" t="s">
        <v>66</v>
      </c>
      <c r="S93" s="3" t="s">
        <v>66</v>
      </c>
      <c r="T93" s="3" t="s">
        <v>66</v>
      </c>
      <c r="W93" s="18">
        <f t="shared" ref="W93:X93" si="95">(H93+J93+L93+N93)/4</f>
        <v>1</v>
      </c>
      <c r="X93" s="18">
        <f t="shared" si="95"/>
        <v>1</v>
      </c>
    </row>
    <row r="94">
      <c r="A94" s="12" t="s">
        <v>199</v>
      </c>
      <c r="B94" s="12" t="s">
        <v>28</v>
      </c>
      <c r="C94" s="12" t="s">
        <v>235</v>
      </c>
      <c r="D94" s="12" t="s">
        <v>200</v>
      </c>
      <c r="E94" s="11" t="s">
        <v>277</v>
      </c>
      <c r="F94" s="12" t="s">
        <v>202</v>
      </c>
      <c r="G94" s="10" t="s">
        <v>39</v>
      </c>
      <c r="H94" s="13">
        <v>0.5</v>
      </c>
      <c r="I94" s="14">
        <v>0.5</v>
      </c>
      <c r="J94" s="13">
        <v>1.0</v>
      </c>
      <c r="K94" s="14">
        <v>0.5</v>
      </c>
      <c r="L94" s="13">
        <v>0.0</v>
      </c>
      <c r="M94" s="14">
        <v>0.0</v>
      </c>
      <c r="N94" s="13">
        <v>1.0</v>
      </c>
      <c r="O94" s="14">
        <v>0.5</v>
      </c>
      <c r="P94" s="15">
        <f t="shared" si="5"/>
        <v>0.75</v>
      </c>
      <c r="R94" s="3" t="s">
        <v>66</v>
      </c>
      <c r="S94" s="3" t="s">
        <v>66</v>
      </c>
      <c r="T94" s="3" t="s">
        <v>66</v>
      </c>
      <c r="W94" s="18">
        <f t="shared" ref="W94:X94" si="96">(H94+J94+L94+N94)/4</f>
        <v>0.625</v>
      </c>
      <c r="X94" s="18">
        <f t="shared" si="96"/>
        <v>0.375</v>
      </c>
    </row>
    <row r="95">
      <c r="A95" s="12" t="s">
        <v>203</v>
      </c>
      <c r="B95" s="12" t="s">
        <v>28</v>
      </c>
      <c r="C95" s="12" t="s">
        <v>235</v>
      </c>
      <c r="D95" s="12" t="s">
        <v>204</v>
      </c>
      <c r="E95" s="11" t="s">
        <v>278</v>
      </c>
      <c r="F95" s="12" t="s">
        <v>206</v>
      </c>
      <c r="G95" s="10" t="s">
        <v>33</v>
      </c>
      <c r="H95" s="13">
        <v>1.0</v>
      </c>
      <c r="I95" s="14">
        <v>1.0</v>
      </c>
      <c r="J95" s="13">
        <v>1.0</v>
      </c>
      <c r="K95" s="14">
        <v>1.0</v>
      </c>
      <c r="L95" s="13">
        <v>1.0</v>
      </c>
      <c r="M95" s="14">
        <v>1.0</v>
      </c>
      <c r="N95" s="13">
        <v>1.0</v>
      </c>
      <c r="O95" s="14">
        <v>1.0</v>
      </c>
      <c r="P95" s="15">
        <f t="shared" si="5"/>
        <v>1</v>
      </c>
      <c r="R95" s="3" t="s">
        <v>66</v>
      </c>
      <c r="S95" s="3" t="s">
        <v>66</v>
      </c>
      <c r="T95" s="3" t="s">
        <v>66</v>
      </c>
      <c r="W95" s="18">
        <f t="shared" ref="W95:X95" si="97">(H95+J95+L95+N95)/4</f>
        <v>1</v>
      </c>
      <c r="X95" s="18">
        <f t="shared" si="97"/>
        <v>1</v>
      </c>
    </row>
    <row r="96">
      <c r="A96" s="12" t="s">
        <v>207</v>
      </c>
      <c r="B96" s="12" t="s">
        <v>28</v>
      </c>
      <c r="C96" s="12" t="s">
        <v>235</v>
      </c>
      <c r="D96" s="12" t="s">
        <v>208</v>
      </c>
      <c r="E96" s="11" t="s">
        <v>279</v>
      </c>
      <c r="F96" s="12" t="s">
        <v>210</v>
      </c>
      <c r="G96" s="10" t="s">
        <v>33</v>
      </c>
      <c r="H96" s="13">
        <v>1.0</v>
      </c>
      <c r="I96" s="14">
        <v>1.0</v>
      </c>
      <c r="J96" s="13">
        <v>1.0</v>
      </c>
      <c r="K96" s="14">
        <v>1.0</v>
      </c>
      <c r="L96" s="13">
        <v>1.0</v>
      </c>
      <c r="M96" s="14">
        <v>1.0</v>
      </c>
      <c r="N96" s="13">
        <v>1.0</v>
      </c>
      <c r="O96" s="14">
        <v>1.0</v>
      </c>
      <c r="P96" s="15">
        <f t="shared" si="5"/>
        <v>1</v>
      </c>
      <c r="R96" s="3" t="s">
        <v>66</v>
      </c>
      <c r="S96" s="3" t="s">
        <v>66</v>
      </c>
      <c r="T96" s="3" t="s">
        <v>66</v>
      </c>
      <c r="W96" s="18">
        <f t="shared" ref="W96:X96" si="98">(H96+J96+L96+N96)/4</f>
        <v>1</v>
      </c>
      <c r="X96" s="18">
        <f t="shared" si="98"/>
        <v>1</v>
      </c>
    </row>
    <row r="97">
      <c r="A97" s="12" t="s">
        <v>211</v>
      </c>
      <c r="B97" s="12" t="s">
        <v>28</v>
      </c>
      <c r="C97" s="12" t="s">
        <v>235</v>
      </c>
      <c r="D97" s="12" t="s">
        <v>212</v>
      </c>
      <c r="E97" s="11" t="s">
        <v>280</v>
      </c>
      <c r="F97" s="12" t="s">
        <v>214</v>
      </c>
      <c r="G97" s="10" t="s">
        <v>33</v>
      </c>
      <c r="H97" s="13">
        <v>1.0</v>
      </c>
      <c r="I97" s="14">
        <v>1.0</v>
      </c>
      <c r="J97" s="13">
        <v>1.0</v>
      </c>
      <c r="K97" s="14">
        <v>1.0</v>
      </c>
      <c r="L97" s="13">
        <v>1.0</v>
      </c>
      <c r="M97" s="14">
        <v>1.0</v>
      </c>
      <c r="N97" s="13">
        <v>1.0</v>
      </c>
      <c r="O97" s="14">
        <v>1.0</v>
      </c>
      <c r="P97" s="15">
        <f t="shared" si="5"/>
        <v>1</v>
      </c>
      <c r="R97" s="3" t="s">
        <v>66</v>
      </c>
      <c r="S97" s="3" t="s">
        <v>66</v>
      </c>
      <c r="T97" s="3" t="s">
        <v>66</v>
      </c>
      <c r="W97" s="18">
        <f t="shared" ref="W97:X97" si="99">(H97+J97+L97+N97)/4</f>
        <v>1</v>
      </c>
      <c r="X97" s="18">
        <f t="shared" si="99"/>
        <v>1</v>
      </c>
    </row>
    <row r="98">
      <c r="A98" s="12" t="s">
        <v>215</v>
      </c>
      <c r="B98" s="12" t="s">
        <v>28</v>
      </c>
      <c r="C98" s="12" t="s">
        <v>235</v>
      </c>
      <c r="D98" s="12" t="s">
        <v>216</v>
      </c>
      <c r="E98" s="11" t="s">
        <v>281</v>
      </c>
      <c r="F98" s="12" t="s">
        <v>218</v>
      </c>
      <c r="G98" s="10" t="s">
        <v>33</v>
      </c>
      <c r="H98" s="13">
        <v>1.0</v>
      </c>
      <c r="I98" s="14">
        <v>1.0</v>
      </c>
      <c r="J98" s="13">
        <v>1.0</v>
      </c>
      <c r="K98" s="14">
        <v>1.0</v>
      </c>
      <c r="L98" s="13">
        <v>1.0</v>
      </c>
      <c r="M98" s="14">
        <v>1.0</v>
      </c>
      <c r="N98" s="13">
        <v>1.0</v>
      </c>
      <c r="O98" s="14">
        <v>1.0</v>
      </c>
      <c r="P98" s="15">
        <f t="shared" si="5"/>
        <v>1</v>
      </c>
      <c r="R98" s="3" t="s">
        <v>66</v>
      </c>
      <c r="S98" s="3" t="s">
        <v>66</v>
      </c>
      <c r="T98" s="3" t="s">
        <v>66</v>
      </c>
      <c r="W98" s="18">
        <f t="shared" ref="W98:X98" si="100">(H98+J98+L98+N98)/4</f>
        <v>1</v>
      </c>
      <c r="X98" s="18">
        <f t="shared" si="100"/>
        <v>1</v>
      </c>
    </row>
    <row r="99">
      <c r="A99" s="12" t="s">
        <v>219</v>
      </c>
      <c r="B99" s="12" t="s">
        <v>28</v>
      </c>
      <c r="C99" s="12" t="s">
        <v>235</v>
      </c>
      <c r="D99" s="12" t="s">
        <v>220</v>
      </c>
      <c r="E99" s="11" t="s">
        <v>282</v>
      </c>
      <c r="F99" s="12" t="s">
        <v>222</v>
      </c>
      <c r="G99" s="10" t="s">
        <v>33</v>
      </c>
      <c r="H99" s="13">
        <v>1.0</v>
      </c>
      <c r="I99" s="14">
        <v>1.0</v>
      </c>
      <c r="J99" s="13">
        <v>1.0</v>
      </c>
      <c r="K99" s="14">
        <v>1.0</v>
      </c>
      <c r="L99" s="13">
        <v>1.0</v>
      </c>
      <c r="M99" s="14">
        <v>1.0</v>
      </c>
      <c r="N99" s="13">
        <v>1.0</v>
      </c>
      <c r="O99" s="14">
        <v>1.0</v>
      </c>
      <c r="P99" s="15">
        <f t="shared" si="5"/>
        <v>1</v>
      </c>
      <c r="R99" s="3" t="s">
        <v>66</v>
      </c>
      <c r="S99" s="3" t="s">
        <v>66</v>
      </c>
      <c r="T99" s="3" t="s">
        <v>66</v>
      </c>
      <c r="W99" s="18">
        <f t="shared" ref="W99:X99" si="101">(H99+J99+L99+N99)/4</f>
        <v>1</v>
      </c>
      <c r="X99" s="18">
        <f t="shared" si="101"/>
        <v>1</v>
      </c>
    </row>
    <row r="100">
      <c r="A100" s="12" t="s">
        <v>223</v>
      </c>
      <c r="B100" s="12" t="s">
        <v>28</v>
      </c>
      <c r="C100" s="12" t="s">
        <v>235</v>
      </c>
      <c r="D100" s="12" t="s">
        <v>224</v>
      </c>
      <c r="E100" s="11" t="s">
        <v>283</v>
      </c>
      <c r="F100" s="12" t="s">
        <v>226</v>
      </c>
      <c r="G100" s="10" t="s">
        <v>33</v>
      </c>
      <c r="H100" s="13">
        <v>1.0</v>
      </c>
      <c r="I100" s="14">
        <v>1.0</v>
      </c>
      <c r="J100" s="13">
        <v>1.0</v>
      </c>
      <c r="K100" s="14">
        <v>1.0</v>
      </c>
      <c r="L100" s="13">
        <v>1.0</v>
      </c>
      <c r="M100" s="14">
        <v>1.0</v>
      </c>
      <c r="N100" s="13">
        <v>1.0</v>
      </c>
      <c r="O100" s="14">
        <v>1.0</v>
      </c>
      <c r="P100" s="15">
        <f t="shared" si="5"/>
        <v>1</v>
      </c>
      <c r="R100" s="3" t="s">
        <v>66</v>
      </c>
      <c r="S100" s="3" t="s">
        <v>66</v>
      </c>
      <c r="T100" s="3" t="s">
        <v>66</v>
      </c>
      <c r="W100" s="18">
        <f t="shared" ref="W100:X100" si="102">(H100+J100+L100+N100)/4</f>
        <v>1</v>
      </c>
      <c r="X100" s="18">
        <f t="shared" si="102"/>
        <v>1</v>
      </c>
    </row>
    <row r="101">
      <c r="A101" s="12" t="s">
        <v>227</v>
      </c>
      <c r="B101" s="12" t="s">
        <v>28</v>
      </c>
      <c r="C101" s="12" t="s">
        <v>235</v>
      </c>
      <c r="D101" s="12" t="s">
        <v>228</v>
      </c>
      <c r="E101" s="11" t="s">
        <v>284</v>
      </c>
      <c r="F101" s="12" t="s">
        <v>230</v>
      </c>
      <c r="G101" s="10" t="s">
        <v>33</v>
      </c>
      <c r="H101" s="13">
        <v>1.0</v>
      </c>
      <c r="I101" s="14">
        <v>1.0</v>
      </c>
      <c r="J101" s="13">
        <v>1.0</v>
      </c>
      <c r="K101" s="14">
        <v>1.0</v>
      </c>
      <c r="L101" s="13">
        <v>1.0</v>
      </c>
      <c r="M101" s="14">
        <v>1.0</v>
      </c>
      <c r="N101" s="13">
        <v>1.0</v>
      </c>
      <c r="O101" s="14">
        <v>1.0</v>
      </c>
      <c r="P101" s="15">
        <f t="shared" si="5"/>
        <v>1</v>
      </c>
      <c r="R101" s="3" t="s">
        <v>66</v>
      </c>
      <c r="S101" s="3" t="s">
        <v>66</v>
      </c>
      <c r="T101" s="3" t="s">
        <v>66</v>
      </c>
      <c r="W101" s="18">
        <f t="shared" ref="W101:X101" si="103">(H101+J101+L101+N101)/4</f>
        <v>1</v>
      </c>
      <c r="X101" s="18">
        <f t="shared" si="103"/>
        <v>1</v>
      </c>
    </row>
    <row r="102">
      <c r="A102" s="12" t="s">
        <v>231</v>
      </c>
      <c r="B102" s="12" t="s">
        <v>28</v>
      </c>
      <c r="C102" s="12" t="s">
        <v>235</v>
      </c>
      <c r="D102" s="12" t="s">
        <v>232</v>
      </c>
      <c r="E102" s="22" t="s">
        <v>285</v>
      </c>
      <c r="F102" s="12" t="s">
        <v>234</v>
      </c>
      <c r="G102" s="10" t="s">
        <v>39</v>
      </c>
      <c r="H102" s="13">
        <v>0.5</v>
      </c>
      <c r="I102" s="14">
        <v>1.0</v>
      </c>
      <c r="J102" s="13">
        <v>1.0</v>
      </c>
      <c r="K102" s="14">
        <v>1.0</v>
      </c>
      <c r="L102" s="13">
        <v>0.0</v>
      </c>
      <c r="M102" s="14">
        <v>0.0</v>
      </c>
      <c r="N102" s="13">
        <v>1.0</v>
      </c>
      <c r="O102" s="14">
        <v>0.5</v>
      </c>
      <c r="P102" s="15">
        <f t="shared" si="5"/>
        <v>0.75</v>
      </c>
      <c r="R102" s="3" t="s">
        <v>66</v>
      </c>
      <c r="S102" s="3" t="s">
        <v>66</v>
      </c>
      <c r="T102" s="3" t="s">
        <v>66</v>
      </c>
      <c r="W102" s="18">
        <f t="shared" ref="W102:X102" si="104">(H102+J102+L102+N102)/4</f>
        <v>0.625</v>
      </c>
      <c r="X102" s="18">
        <f t="shared" si="104"/>
        <v>0.625</v>
      </c>
    </row>
    <row r="103">
      <c r="A103" s="12" t="s">
        <v>27</v>
      </c>
      <c r="B103" s="12" t="s">
        <v>28</v>
      </c>
      <c r="C103" s="12" t="s">
        <v>286</v>
      </c>
      <c r="D103" s="12" t="s">
        <v>30</v>
      </c>
      <c r="E103" s="11" t="s">
        <v>287</v>
      </c>
      <c r="F103" s="12" t="s">
        <v>32</v>
      </c>
      <c r="G103" s="10" t="s">
        <v>33</v>
      </c>
      <c r="H103" s="13">
        <v>1.0</v>
      </c>
      <c r="I103" s="13">
        <v>1.0</v>
      </c>
      <c r="J103" s="13">
        <v>1.0</v>
      </c>
      <c r="K103" s="13">
        <v>1.0</v>
      </c>
      <c r="L103" s="13">
        <v>0.5</v>
      </c>
      <c r="M103" s="13">
        <v>1.0</v>
      </c>
      <c r="N103" s="13">
        <v>1.0</v>
      </c>
      <c r="O103" s="13">
        <v>1.0</v>
      </c>
      <c r="P103" s="15">
        <f t="shared" si="5"/>
        <v>0.875</v>
      </c>
      <c r="R103" s="3" t="s">
        <v>66</v>
      </c>
      <c r="S103" s="3" t="s">
        <v>66</v>
      </c>
      <c r="T103" s="3" t="s">
        <v>66</v>
      </c>
      <c r="W103" s="18">
        <f t="shared" ref="W103:X103" si="105">(H103+J103+L103+N103)/4</f>
        <v>0.875</v>
      </c>
      <c r="X103" s="18">
        <f t="shared" si="105"/>
        <v>1</v>
      </c>
    </row>
    <row r="104">
      <c r="A104" s="12" t="s">
        <v>35</v>
      </c>
      <c r="B104" s="12" t="s">
        <v>28</v>
      </c>
      <c r="C104" s="12" t="s">
        <v>286</v>
      </c>
      <c r="D104" s="12" t="s">
        <v>55</v>
      </c>
      <c r="E104" s="11" t="s">
        <v>288</v>
      </c>
      <c r="F104" s="12" t="s">
        <v>57</v>
      </c>
      <c r="G104" s="10" t="s">
        <v>33</v>
      </c>
      <c r="H104" s="13">
        <v>1.0</v>
      </c>
      <c r="I104" s="13">
        <v>1.0</v>
      </c>
      <c r="J104" s="13">
        <v>1.0</v>
      </c>
      <c r="K104" s="13">
        <v>1.0</v>
      </c>
      <c r="L104" s="13">
        <v>1.0</v>
      </c>
      <c r="M104" s="13">
        <v>1.0</v>
      </c>
      <c r="N104" s="13">
        <v>1.0</v>
      </c>
      <c r="O104" s="13">
        <v>1.0</v>
      </c>
      <c r="P104" s="15">
        <f t="shared" si="5"/>
        <v>1</v>
      </c>
      <c r="R104" s="3" t="s">
        <v>66</v>
      </c>
      <c r="S104" s="3" t="s">
        <v>66</v>
      </c>
      <c r="T104" s="3" t="s">
        <v>66</v>
      </c>
      <c r="W104" s="18">
        <f t="shared" ref="W104:X104" si="106">(H104+J104+L104+N104)/4</f>
        <v>1</v>
      </c>
      <c r="X104" s="18">
        <f t="shared" si="106"/>
        <v>1</v>
      </c>
    </row>
    <row r="105">
      <c r="A105" s="12" t="s">
        <v>41</v>
      </c>
      <c r="B105" s="12" t="s">
        <v>28</v>
      </c>
      <c r="C105" s="12" t="s">
        <v>286</v>
      </c>
      <c r="D105" s="12" t="s">
        <v>42</v>
      </c>
      <c r="E105" s="11" t="s">
        <v>289</v>
      </c>
      <c r="F105" s="12" t="s">
        <v>44</v>
      </c>
      <c r="G105" s="10" t="s">
        <v>33</v>
      </c>
      <c r="H105" s="13">
        <v>1.0</v>
      </c>
      <c r="I105" s="13">
        <v>1.0</v>
      </c>
      <c r="J105" s="13">
        <v>1.0</v>
      </c>
      <c r="K105" s="13">
        <v>1.0</v>
      </c>
      <c r="L105" s="13">
        <v>0.5</v>
      </c>
      <c r="M105" s="13">
        <v>1.0</v>
      </c>
      <c r="N105" s="13">
        <v>1.0</v>
      </c>
      <c r="O105" s="13">
        <v>1.0</v>
      </c>
      <c r="P105" s="15">
        <f t="shared" si="5"/>
        <v>0.875</v>
      </c>
      <c r="R105" s="3" t="s">
        <v>66</v>
      </c>
      <c r="S105" s="3" t="s">
        <v>66</v>
      </c>
      <c r="T105" s="3" t="s">
        <v>66</v>
      </c>
      <c r="W105" s="18">
        <f t="shared" ref="W105:X105" si="107">(H105+J105+L105+N105)/4</f>
        <v>0.875</v>
      </c>
      <c r="X105" s="18">
        <f t="shared" si="107"/>
        <v>1</v>
      </c>
    </row>
    <row r="106">
      <c r="A106" s="12" t="s">
        <v>46</v>
      </c>
      <c r="B106" s="12" t="s">
        <v>28</v>
      </c>
      <c r="C106" s="12" t="s">
        <v>286</v>
      </c>
      <c r="D106" s="12" t="s">
        <v>47</v>
      </c>
      <c r="E106" s="11" t="s">
        <v>290</v>
      </c>
      <c r="F106" s="12" t="s">
        <v>49</v>
      </c>
      <c r="G106" s="10" t="s">
        <v>33</v>
      </c>
      <c r="H106" s="13">
        <v>1.0</v>
      </c>
      <c r="I106" s="13">
        <v>1.0</v>
      </c>
      <c r="J106" s="13">
        <v>1.0</v>
      </c>
      <c r="K106" s="13">
        <v>1.0</v>
      </c>
      <c r="L106" s="13">
        <v>0.5</v>
      </c>
      <c r="M106" s="13">
        <v>1.0</v>
      </c>
      <c r="N106" s="13">
        <v>1.0</v>
      </c>
      <c r="O106" s="13">
        <v>1.0</v>
      </c>
      <c r="P106" s="15">
        <f t="shared" si="5"/>
        <v>0.875</v>
      </c>
      <c r="R106" s="3" t="s">
        <v>66</v>
      </c>
      <c r="S106" s="3" t="s">
        <v>66</v>
      </c>
      <c r="T106" s="3" t="s">
        <v>66</v>
      </c>
      <c r="W106" s="18">
        <f t="shared" ref="W106:X106" si="108">(H106+J106+L106+N106)/4</f>
        <v>0.875</v>
      </c>
      <c r="X106" s="18">
        <f t="shared" si="108"/>
        <v>1</v>
      </c>
    </row>
    <row r="107">
      <c r="A107" s="12" t="s">
        <v>50</v>
      </c>
      <c r="B107" s="12" t="s">
        <v>28</v>
      </c>
      <c r="C107" s="12" t="s">
        <v>286</v>
      </c>
      <c r="D107" s="12" t="s">
        <v>51</v>
      </c>
      <c r="E107" s="11" t="s">
        <v>291</v>
      </c>
      <c r="F107" s="12" t="s">
        <v>53</v>
      </c>
      <c r="G107" s="10" t="s">
        <v>33</v>
      </c>
      <c r="H107" s="13">
        <v>1.0</v>
      </c>
      <c r="I107" s="13">
        <v>1.0</v>
      </c>
      <c r="J107" s="13">
        <v>1.0</v>
      </c>
      <c r="K107" s="13">
        <v>1.0</v>
      </c>
      <c r="L107" s="13">
        <v>1.0</v>
      </c>
      <c r="M107" s="13">
        <v>1.0</v>
      </c>
      <c r="N107" s="13">
        <v>1.0</v>
      </c>
      <c r="O107" s="13">
        <v>1.0</v>
      </c>
      <c r="P107" s="15">
        <f t="shared" si="5"/>
        <v>1</v>
      </c>
      <c r="R107" s="3" t="s">
        <v>66</v>
      </c>
      <c r="S107" s="3" t="s">
        <v>66</v>
      </c>
      <c r="T107" s="3" t="s">
        <v>66</v>
      </c>
      <c r="W107" s="18">
        <f t="shared" ref="W107:X107" si="109">(H107+J107+L107+N107)/4</f>
        <v>1</v>
      </c>
      <c r="X107" s="18">
        <f t="shared" si="109"/>
        <v>1</v>
      </c>
    </row>
    <row r="108">
      <c r="A108" s="12" t="s">
        <v>54</v>
      </c>
      <c r="B108" s="12" t="s">
        <v>28</v>
      </c>
      <c r="C108" s="12" t="s">
        <v>286</v>
      </c>
      <c r="D108" s="12" t="s">
        <v>36</v>
      </c>
      <c r="E108" s="11" t="s">
        <v>292</v>
      </c>
      <c r="F108" s="12" t="s">
        <v>38</v>
      </c>
      <c r="G108" s="10" t="s">
        <v>33</v>
      </c>
      <c r="H108" s="13">
        <v>1.0</v>
      </c>
      <c r="I108" s="13">
        <v>1.0</v>
      </c>
      <c r="J108" s="13">
        <v>1.0</v>
      </c>
      <c r="K108" s="13">
        <v>1.0</v>
      </c>
      <c r="L108" s="13">
        <v>0.5</v>
      </c>
      <c r="M108" s="13">
        <v>1.0</v>
      </c>
      <c r="N108" s="13">
        <v>1.0</v>
      </c>
      <c r="O108" s="13">
        <v>1.0</v>
      </c>
      <c r="P108" s="15">
        <f t="shared" si="5"/>
        <v>0.875</v>
      </c>
      <c r="R108" s="3" t="s">
        <v>66</v>
      </c>
      <c r="S108" s="3" t="s">
        <v>66</v>
      </c>
      <c r="T108" s="3" t="s">
        <v>66</v>
      </c>
      <c r="W108" s="18">
        <f t="shared" ref="W108:X108" si="110">(H108+J108+L108+N108)/4</f>
        <v>0.875</v>
      </c>
      <c r="X108" s="18">
        <f t="shared" si="110"/>
        <v>1</v>
      </c>
    </row>
    <row r="109">
      <c r="A109" s="12" t="s">
        <v>58</v>
      </c>
      <c r="B109" s="12" t="s">
        <v>28</v>
      </c>
      <c r="C109" s="12" t="s">
        <v>286</v>
      </c>
      <c r="D109" s="12" t="s">
        <v>59</v>
      </c>
      <c r="E109" s="11" t="s">
        <v>293</v>
      </c>
      <c r="F109" s="12" t="s">
        <v>61</v>
      </c>
      <c r="G109" s="10" t="s">
        <v>33</v>
      </c>
      <c r="H109" s="13">
        <v>1.0</v>
      </c>
      <c r="I109" s="13">
        <v>1.0</v>
      </c>
      <c r="J109" s="13">
        <v>1.0</v>
      </c>
      <c r="K109" s="13">
        <v>1.0</v>
      </c>
      <c r="L109" s="13">
        <v>1.0</v>
      </c>
      <c r="M109" s="13">
        <v>1.0</v>
      </c>
      <c r="N109" s="13">
        <v>1.0</v>
      </c>
      <c r="O109" s="13">
        <v>1.0</v>
      </c>
      <c r="P109" s="15">
        <f t="shared" si="5"/>
        <v>1</v>
      </c>
      <c r="R109" s="3" t="s">
        <v>66</v>
      </c>
      <c r="S109" s="3" t="s">
        <v>66</v>
      </c>
      <c r="T109" s="3" t="s">
        <v>66</v>
      </c>
      <c r="W109" s="18">
        <f t="shared" ref="W109:X109" si="111">(H109+J109+L109+N109)/4</f>
        <v>1</v>
      </c>
      <c r="X109" s="18">
        <f t="shared" si="111"/>
        <v>1</v>
      </c>
    </row>
    <row r="110">
      <c r="A110" s="12" t="s">
        <v>62</v>
      </c>
      <c r="B110" s="12" t="s">
        <v>28</v>
      </c>
      <c r="C110" s="12" t="s">
        <v>286</v>
      </c>
      <c r="D110" s="12" t="s">
        <v>63</v>
      </c>
      <c r="E110" s="11" t="s">
        <v>294</v>
      </c>
      <c r="F110" s="12" t="s">
        <v>65</v>
      </c>
      <c r="G110" s="10" t="s">
        <v>33</v>
      </c>
      <c r="H110" s="13">
        <v>1.0</v>
      </c>
      <c r="I110" s="13">
        <v>1.0</v>
      </c>
      <c r="J110" s="13">
        <v>1.0</v>
      </c>
      <c r="K110" s="13">
        <v>1.0</v>
      </c>
      <c r="L110" s="13">
        <v>0.5</v>
      </c>
      <c r="M110" s="13">
        <v>1.0</v>
      </c>
      <c r="N110" s="13">
        <v>1.0</v>
      </c>
      <c r="O110" s="13">
        <v>1.0</v>
      </c>
      <c r="P110" s="15">
        <f t="shared" si="5"/>
        <v>0.875</v>
      </c>
      <c r="R110" s="3" t="s">
        <v>66</v>
      </c>
      <c r="S110" s="3" t="s">
        <v>66</v>
      </c>
      <c r="T110" s="3" t="s">
        <v>66</v>
      </c>
      <c r="W110" s="18">
        <f t="shared" ref="W110:X110" si="112">(H110+J110+L110+N110)/4</f>
        <v>0.875</v>
      </c>
      <c r="X110" s="18">
        <f t="shared" si="112"/>
        <v>1</v>
      </c>
    </row>
    <row r="111">
      <c r="A111" s="12" t="s">
        <v>67</v>
      </c>
      <c r="B111" s="12" t="s">
        <v>28</v>
      </c>
      <c r="C111" s="12" t="s">
        <v>286</v>
      </c>
      <c r="D111" s="12" t="s">
        <v>68</v>
      </c>
      <c r="E111" s="11" t="s">
        <v>295</v>
      </c>
      <c r="F111" s="12" t="s">
        <v>70</v>
      </c>
      <c r="G111" s="10" t="s">
        <v>33</v>
      </c>
      <c r="H111" s="13">
        <v>1.0</v>
      </c>
      <c r="I111" s="13">
        <v>1.0</v>
      </c>
      <c r="J111" s="13">
        <v>1.0</v>
      </c>
      <c r="K111" s="13">
        <v>1.0</v>
      </c>
      <c r="L111" s="13">
        <v>1.0</v>
      </c>
      <c r="M111" s="13">
        <v>1.0</v>
      </c>
      <c r="N111" s="13">
        <v>1.0</v>
      </c>
      <c r="O111" s="13">
        <v>1.0</v>
      </c>
      <c r="P111" s="15">
        <f t="shared" si="5"/>
        <v>1</v>
      </c>
      <c r="R111" s="3" t="s">
        <v>66</v>
      </c>
      <c r="S111" s="3" t="s">
        <v>66</v>
      </c>
      <c r="T111" s="3" t="s">
        <v>66</v>
      </c>
      <c r="W111" s="18">
        <f t="shared" ref="W111:X111" si="113">(H111+J111+L111+N111)/4</f>
        <v>1</v>
      </c>
      <c r="X111" s="18">
        <f t="shared" si="113"/>
        <v>1</v>
      </c>
    </row>
    <row r="112">
      <c r="A112" s="12" t="s">
        <v>71</v>
      </c>
      <c r="B112" s="12" t="s">
        <v>28</v>
      </c>
      <c r="C112" s="12" t="s">
        <v>286</v>
      </c>
      <c r="D112" s="12" t="s">
        <v>72</v>
      </c>
      <c r="E112" s="11" t="s">
        <v>296</v>
      </c>
      <c r="F112" s="12" t="s">
        <v>74</v>
      </c>
      <c r="G112" s="10" t="s">
        <v>33</v>
      </c>
      <c r="H112" s="13">
        <v>1.0</v>
      </c>
      <c r="I112" s="13">
        <v>1.0</v>
      </c>
      <c r="J112" s="13">
        <v>1.0</v>
      </c>
      <c r="K112" s="13">
        <v>1.0</v>
      </c>
      <c r="L112" s="13">
        <v>1.0</v>
      </c>
      <c r="M112" s="13">
        <v>1.0</v>
      </c>
      <c r="N112" s="13">
        <v>1.0</v>
      </c>
      <c r="O112" s="13">
        <v>1.0</v>
      </c>
      <c r="P112" s="15">
        <f t="shared" si="5"/>
        <v>1</v>
      </c>
      <c r="R112" s="3" t="s">
        <v>66</v>
      </c>
      <c r="S112" s="3" t="s">
        <v>66</v>
      </c>
      <c r="T112" s="3" t="s">
        <v>66</v>
      </c>
      <c r="W112" s="18">
        <f t="shared" ref="W112:X112" si="114">(H112+J112+L112+N112)/4</f>
        <v>1</v>
      </c>
      <c r="X112" s="18">
        <f t="shared" si="114"/>
        <v>1</v>
      </c>
    </row>
    <row r="113">
      <c r="A113" s="12" t="s">
        <v>75</v>
      </c>
      <c r="B113" s="12" t="s">
        <v>28</v>
      </c>
      <c r="C113" s="12" t="s">
        <v>286</v>
      </c>
      <c r="D113" s="12" t="s">
        <v>76</v>
      </c>
      <c r="E113" s="11" t="s">
        <v>297</v>
      </c>
      <c r="F113" s="12" t="s">
        <v>78</v>
      </c>
      <c r="G113" s="10" t="s">
        <v>33</v>
      </c>
      <c r="H113" s="13">
        <v>1.0</v>
      </c>
      <c r="I113" s="13">
        <v>1.0</v>
      </c>
      <c r="J113" s="13">
        <v>1.0</v>
      </c>
      <c r="K113" s="13">
        <v>1.0</v>
      </c>
      <c r="L113" s="13">
        <v>0.5</v>
      </c>
      <c r="M113" s="13">
        <v>1.0</v>
      </c>
      <c r="N113" s="13">
        <v>1.0</v>
      </c>
      <c r="O113" s="13">
        <v>1.0</v>
      </c>
      <c r="P113" s="15">
        <f t="shared" si="5"/>
        <v>0.875</v>
      </c>
      <c r="R113" s="3" t="s">
        <v>66</v>
      </c>
      <c r="S113" s="3" t="s">
        <v>66</v>
      </c>
      <c r="T113" s="3" t="s">
        <v>66</v>
      </c>
      <c r="W113" s="18">
        <f t="shared" ref="W113:X113" si="115">(H113+J113+L113+N113)/4</f>
        <v>0.875</v>
      </c>
      <c r="X113" s="18">
        <f t="shared" si="115"/>
        <v>1</v>
      </c>
    </row>
    <row r="114">
      <c r="A114" s="12" t="s">
        <v>79</v>
      </c>
      <c r="B114" s="12" t="s">
        <v>28</v>
      </c>
      <c r="C114" s="12" t="s">
        <v>286</v>
      </c>
      <c r="D114" s="12" t="s">
        <v>80</v>
      </c>
      <c r="E114" s="11" t="s">
        <v>298</v>
      </c>
      <c r="F114" s="12" t="s">
        <v>82</v>
      </c>
      <c r="G114" s="10" t="s">
        <v>33</v>
      </c>
      <c r="H114" s="13">
        <v>1.0</v>
      </c>
      <c r="I114" s="13">
        <v>1.0</v>
      </c>
      <c r="J114" s="13">
        <v>1.0</v>
      </c>
      <c r="K114" s="13">
        <v>1.0</v>
      </c>
      <c r="L114" s="13">
        <v>1.0</v>
      </c>
      <c r="M114" s="13">
        <v>1.0</v>
      </c>
      <c r="N114" s="13">
        <v>1.0</v>
      </c>
      <c r="O114" s="13">
        <v>1.0</v>
      </c>
      <c r="P114" s="15">
        <f t="shared" si="5"/>
        <v>1</v>
      </c>
      <c r="R114" s="3" t="s">
        <v>66</v>
      </c>
      <c r="S114" s="3" t="s">
        <v>66</v>
      </c>
      <c r="T114" s="3" t="s">
        <v>66</v>
      </c>
      <c r="W114" s="18">
        <f t="shared" ref="W114:X114" si="116">(H114+J114+L114+N114)/4</f>
        <v>1</v>
      </c>
      <c r="X114" s="18">
        <f t="shared" si="116"/>
        <v>1</v>
      </c>
    </row>
    <row r="115">
      <c r="A115" s="12" t="s">
        <v>83</v>
      </c>
      <c r="B115" s="12" t="s">
        <v>28</v>
      </c>
      <c r="C115" s="12" t="s">
        <v>286</v>
      </c>
      <c r="D115" s="12" t="s">
        <v>84</v>
      </c>
      <c r="E115" s="11" t="s">
        <v>299</v>
      </c>
      <c r="F115" s="12" t="s">
        <v>86</v>
      </c>
      <c r="G115" s="10" t="s">
        <v>33</v>
      </c>
      <c r="H115" s="13">
        <v>1.0</v>
      </c>
      <c r="I115" s="13">
        <v>1.0</v>
      </c>
      <c r="J115" s="13">
        <v>1.0</v>
      </c>
      <c r="K115" s="13">
        <v>1.0</v>
      </c>
      <c r="L115" s="13">
        <v>1.0</v>
      </c>
      <c r="M115" s="13">
        <v>1.0</v>
      </c>
      <c r="N115" s="13">
        <v>1.0</v>
      </c>
      <c r="O115" s="13">
        <v>1.0</v>
      </c>
      <c r="P115" s="15">
        <f t="shared" si="5"/>
        <v>1</v>
      </c>
      <c r="R115" s="3" t="s">
        <v>66</v>
      </c>
      <c r="S115" s="3" t="s">
        <v>66</v>
      </c>
      <c r="T115" s="3" t="s">
        <v>66</v>
      </c>
      <c r="W115" s="18">
        <f t="shared" ref="W115:X115" si="117">(H115+J115+L115+N115)/4</f>
        <v>1</v>
      </c>
      <c r="X115" s="18">
        <f t="shared" si="117"/>
        <v>1</v>
      </c>
    </row>
    <row r="116">
      <c r="A116" s="12" t="s">
        <v>87</v>
      </c>
      <c r="B116" s="12" t="s">
        <v>28</v>
      </c>
      <c r="C116" s="12" t="s">
        <v>286</v>
      </c>
      <c r="D116" s="12" t="s">
        <v>88</v>
      </c>
      <c r="E116" s="11" t="s">
        <v>300</v>
      </c>
      <c r="F116" s="12" t="s">
        <v>90</v>
      </c>
      <c r="G116" s="10" t="s">
        <v>33</v>
      </c>
      <c r="H116" s="13">
        <v>1.0</v>
      </c>
      <c r="I116" s="13">
        <v>1.0</v>
      </c>
      <c r="J116" s="13">
        <v>1.0</v>
      </c>
      <c r="K116" s="13">
        <v>1.0</v>
      </c>
      <c r="L116" s="13">
        <v>1.0</v>
      </c>
      <c r="M116" s="13">
        <v>1.0</v>
      </c>
      <c r="N116" s="13">
        <v>1.0</v>
      </c>
      <c r="O116" s="13">
        <v>1.0</v>
      </c>
      <c r="P116" s="15">
        <f t="shared" si="5"/>
        <v>1</v>
      </c>
      <c r="R116" s="3" t="s">
        <v>66</v>
      </c>
      <c r="S116" s="3" t="s">
        <v>66</v>
      </c>
      <c r="T116" s="3" t="s">
        <v>66</v>
      </c>
      <c r="W116" s="18">
        <f t="shared" ref="W116:X116" si="118">(H116+J116+L116+N116)/4</f>
        <v>1</v>
      </c>
      <c r="X116" s="18">
        <f t="shared" si="118"/>
        <v>1</v>
      </c>
    </row>
    <row r="117">
      <c r="A117" s="12" t="s">
        <v>91</v>
      </c>
      <c r="B117" s="12" t="s">
        <v>28</v>
      </c>
      <c r="C117" s="12" t="s">
        <v>286</v>
      </c>
      <c r="D117" s="12" t="s">
        <v>92</v>
      </c>
      <c r="E117" s="11" t="s">
        <v>301</v>
      </c>
      <c r="F117" s="12" t="s">
        <v>94</v>
      </c>
      <c r="G117" s="10" t="s">
        <v>33</v>
      </c>
      <c r="H117" s="13">
        <v>1.0</v>
      </c>
      <c r="I117" s="13">
        <v>1.0</v>
      </c>
      <c r="J117" s="13">
        <v>1.0</v>
      </c>
      <c r="K117" s="13">
        <v>1.0</v>
      </c>
      <c r="L117" s="13">
        <v>0.5</v>
      </c>
      <c r="M117" s="13">
        <v>1.0</v>
      </c>
      <c r="N117" s="13">
        <v>1.0</v>
      </c>
      <c r="O117" s="13">
        <v>1.0</v>
      </c>
      <c r="P117" s="15">
        <f t="shared" si="5"/>
        <v>0.875</v>
      </c>
      <c r="R117" s="3" t="s">
        <v>66</v>
      </c>
      <c r="S117" s="3" t="s">
        <v>66</v>
      </c>
      <c r="T117" s="3" t="s">
        <v>66</v>
      </c>
      <c r="W117" s="18">
        <f t="shared" ref="W117:X117" si="119">(H117+J117+L117+N117)/4</f>
        <v>0.875</v>
      </c>
      <c r="X117" s="18">
        <f t="shared" si="119"/>
        <v>1</v>
      </c>
    </row>
    <row r="118">
      <c r="A118" s="12" t="s">
        <v>95</v>
      </c>
      <c r="B118" s="12" t="s">
        <v>28</v>
      </c>
      <c r="C118" s="12" t="s">
        <v>286</v>
      </c>
      <c r="D118" s="12" t="s">
        <v>96</v>
      </c>
      <c r="E118" s="11" t="s">
        <v>302</v>
      </c>
      <c r="F118" s="12" t="s">
        <v>98</v>
      </c>
      <c r="G118" s="10" t="s">
        <v>33</v>
      </c>
      <c r="H118" s="13">
        <v>1.0</v>
      </c>
      <c r="I118" s="13">
        <v>1.0</v>
      </c>
      <c r="J118" s="13">
        <v>1.0</v>
      </c>
      <c r="K118" s="13">
        <v>1.0</v>
      </c>
      <c r="L118" s="13">
        <v>0.5</v>
      </c>
      <c r="M118" s="13">
        <v>1.0</v>
      </c>
      <c r="N118" s="13">
        <v>1.0</v>
      </c>
      <c r="O118" s="13">
        <v>1.0</v>
      </c>
      <c r="P118" s="15">
        <f t="shared" si="5"/>
        <v>0.875</v>
      </c>
      <c r="R118" s="3" t="s">
        <v>66</v>
      </c>
      <c r="S118" s="3" t="s">
        <v>66</v>
      </c>
      <c r="T118" s="3" t="s">
        <v>66</v>
      </c>
      <c r="W118" s="18">
        <f t="shared" ref="W118:X118" si="120">(H118+J118+L118+N118)/4</f>
        <v>0.875</v>
      </c>
      <c r="X118" s="18">
        <f t="shared" si="120"/>
        <v>1</v>
      </c>
    </row>
    <row r="119">
      <c r="A119" s="12" t="s">
        <v>99</v>
      </c>
      <c r="B119" s="12" t="s">
        <v>28</v>
      </c>
      <c r="C119" s="12" t="s">
        <v>286</v>
      </c>
      <c r="D119" s="12" t="s">
        <v>100</v>
      </c>
      <c r="E119" s="11" t="s">
        <v>303</v>
      </c>
      <c r="F119" s="12" t="s">
        <v>102</v>
      </c>
      <c r="G119" s="10" t="s">
        <v>33</v>
      </c>
      <c r="H119" s="13">
        <v>1.0</v>
      </c>
      <c r="I119" s="13">
        <v>1.0</v>
      </c>
      <c r="J119" s="13">
        <v>1.0</v>
      </c>
      <c r="K119" s="13">
        <v>1.0</v>
      </c>
      <c r="L119" s="13">
        <v>1.0</v>
      </c>
      <c r="M119" s="13">
        <v>1.0</v>
      </c>
      <c r="N119" s="13">
        <v>1.0</v>
      </c>
      <c r="O119" s="13">
        <v>1.0</v>
      </c>
      <c r="P119" s="15">
        <f t="shared" si="5"/>
        <v>1</v>
      </c>
      <c r="R119" s="3" t="s">
        <v>66</v>
      </c>
      <c r="S119" s="3" t="s">
        <v>66</v>
      </c>
      <c r="T119" s="3" t="s">
        <v>66</v>
      </c>
      <c r="W119" s="18">
        <f t="shared" ref="W119:X119" si="121">(H119+J119+L119+N119)/4</f>
        <v>1</v>
      </c>
      <c r="X119" s="18">
        <f t="shared" si="121"/>
        <v>1</v>
      </c>
    </row>
    <row r="120">
      <c r="A120" s="12" t="s">
        <v>103</v>
      </c>
      <c r="B120" s="12" t="s">
        <v>28</v>
      </c>
      <c r="C120" s="12" t="s">
        <v>286</v>
      </c>
      <c r="D120" s="12" t="s">
        <v>104</v>
      </c>
      <c r="E120" s="11" t="s">
        <v>304</v>
      </c>
      <c r="F120" s="12" t="s">
        <v>106</v>
      </c>
      <c r="G120" s="10" t="s">
        <v>33</v>
      </c>
      <c r="H120" s="13">
        <v>1.0</v>
      </c>
      <c r="I120" s="13">
        <v>1.0</v>
      </c>
      <c r="J120" s="13">
        <v>1.0</v>
      </c>
      <c r="K120" s="13">
        <v>1.0</v>
      </c>
      <c r="L120" s="13">
        <v>1.0</v>
      </c>
      <c r="M120" s="13">
        <v>1.0</v>
      </c>
      <c r="N120" s="13">
        <v>1.0</v>
      </c>
      <c r="O120" s="13">
        <v>1.0</v>
      </c>
      <c r="P120" s="15">
        <f t="shared" si="5"/>
        <v>1</v>
      </c>
      <c r="R120" s="3" t="s">
        <v>66</v>
      </c>
      <c r="S120" s="3" t="s">
        <v>66</v>
      </c>
      <c r="T120" s="3" t="s">
        <v>66</v>
      </c>
      <c r="W120" s="18">
        <f t="shared" ref="W120:X120" si="122">(H120+J120+L120+N120)/4</f>
        <v>1</v>
      </c>
      <c r="X120" s="18">
        <f t="shared" si="122"/>
        <v>1</v>
      </c>
    </row>
    <row r="121">
      <c r="A121" s="12" t="s">
        <v>107</v>
      </c>
      <c r="B121" s="12" t="s">
        <v>28</v>
      </c>
      <c r="C121" s="12" t="s">
        <v>286</v>
      </c>
      <c r="D121" s="12" t="s">
        <v>108</v>
      </c>
      <c r="E121" s="11" t="s">
        <v>305</v>
      </c>
      <c r="F121" s="12" t="s">
        <v>110</v>
      </c>
      <c r="G121" s="10" t="s">
        <v>33</v>
      </c>
      <c r="H121" s="13">
        <v>0.5</v>
      </c>
      <c r="I121" s="13">
        <v>1.0</v>
      </c>
      <c r="J121" s="13">
        <v>0.5</v>
      </c>
      <c r="K121" s="13">
        <v>1.0</v>
      </c>
      <c r="L121" s="13">
        <v>0.5</v>
      </c>
      <c r="M121" s="13">
        <v>1.0</v>
      </c>
      <c r="N121" s="13">
        <v>1.0</v>
      </c>
      <c r="O121" s="13">
        <v>1.0</v>
      </c>
      <c r="P121" s="15">
        <f t="shared" si="5"/>
        <v>0.625</v>
      </c>
      <c r="R121" s="3" t="s">
        <v>66</v>
      </c>
      <c r="S121" s="3" t="s">
        <v>66</v>
      </c>
      <c r="T121" s="3" t="s">
        <v>66</v>
      </c>
      <c r="W121" s="18">
        <f t="shared" ref="W121:X121" si="123">(H121+J121+L121+N121)/4</f>
        <v>0.625</v>
      </c>
      <c r="X121" s="18">
        <f t="shared" si="123"/>
        <v>1</v>
      </c>
    </row>
    <row r="122">
      <c r="A122" s="12" t="s">
        <v>111</v>
      </c>
      <c r="B122" s="12" t="s">
        <v>28</v>
      </c>
      <c r="C122" s="12" t="s">
        <v>286</v>
      </c>
      <c r="D122" s="12" t="s">
        <v>112</v>
      </c>
      <c r="E122" s="11" t="s">
        <v>306</v>
      </c>
      <c r="F122" s="12" t="s">
        <v>114</v>
      </c>
      <c r="G122" s="10" t="s">
        <v>33</v>
      </c>
      <c r="H122" s="13">
        <v>1.0</v>
      </c>
      <c r="I122" s="13">
        <v>1.0</v>
      </c>
      <c r="J122" s="13">
        <v>1.0</v>
      </c>
      <c r="K122" s="13">
        <v>1.0</v>
      </c>
      <c r="L122" s="13">
        <v>1.0</v>
      </c>
      <c r="M122" s="13">
        <v>1.0</v>
      </c>
      <c r="N122" s="13">
        <v>1.0</v>
      </c>
      <c r="O122" s="13">
        <v>1.0</v>
      </c>
      <c r="P122" s="15">
        <f t="shared" si="5"/>
        <v>1</v>
      </c>
      <c r="R122" s="3" t="s">
        <v>66</v>
      </c>
      <c r="S122" s="3" t="s">
        <v>66</v>
      </c>
      <c r="T122" s="3" t="s">
        <v>66</v>
      </c>
      <c r="W122" s="18">
        <f t="shared" ref="W122:X122" si="124">(H122+J122+L122+N122)/4</f>
        <v>1</v>
      </c>
      <c r="X122" s="18">
        <f t="shared" si="124"/>
        <v>1</v>
      </c>
    </row>
    <row r="123">
      <c r="A123" s="12" t="s">
        <v>115</v>
      </c>
      <c r="B123" s="12" t="s">
        <v>28</v>
      </c>
      <c r="C123" s="12" t="s">
        <v>286</v>
      </c>
      <c r="D123" s="12" t="s">
        <v>116</v>
      </c>
      <c r="E123" s="11" t="s">
        <v>307</v>
      </c>
      <c r="F123" s="12" t="s">
        <v>118</v>
      </c>
      <c r="G123" s="10" t="s">
        <v>33</v>
      </c>
      <c r="H123" s="13">
        <v>1.0</v>
      </c>
      <c r="I123" s="13">
        <v>1.0</v>
      </c>
      <c r="J123" s="13">
        <v>1.0</v>
      </c>
      <c r="K123" s="13">
        <v>1.0</v>
      </c>
      <c r="L123" s="13">
        <v>0.5</v>
      </c>
      <c r="M123" s="13">
        <v>1.0</v>
      </c>
      <c r="N123" s="13">
        <v>1.0</v>
      </c>
      <c r="O123" s="13">
        <v>1.0</v>
      </c>
      <c r="P123" s="15">
        <f t="shared" si="5"/>
        <v>0.875</v>
      </c>
      <c r="R123" s="3" t="s">
        <v>66</v>
      </c>
      <c r="S123" s="3" t="s">
        <v>66</v>
      </c>
      <c r="T123" s="3" t="s">
        <v>66</v>
      </c>
      <c r="W123" s="18">
        <f t="shared" ref="W123:X123" si="125">(H123+J123+L123+N123)/4</f>
        <v>0.875</v>
      </c>
      <c r="X123" s="18">
        <f t="shared" si="125"/>
        <v>1</v>
      </c>
    </row>
    <row r="124">
      <c r="A124" s="12" t="s">
        <v>119</v>
      </c>
      <c r="B124" s="12" t="s">
        <v>28</v>
      </c>
      <c r="C124" s="12" t="s">
        <v>286</v>
      </c>
      <c r="D124" s="12" t="s">
        <v>120</v>
      </c>
      <c r="E124" s="11" t="s">
        <v>308</v>
      </c>
      <c r="F124" s="12" t="s">
        <v>122</v>
      </c>
      <c r="G124" s="10" t="s">
        <v>33</v>
      </c>
      <c r="H124" s="13">
        <v>1.0</v>
      </c>
      <c r="I124" s="13">
        <v>1.0</v>
      </c>
      <c r="J124" s="13">
        <v>1.0</v>
      </c>
      <c r="K124" s="13">
        <v>1.0</v>
      </c>
      <c r="L124" s="13">
        <v>1.0</v>
      </c>
      <c r="M124" s="13">
        <v>1.0</v>
      </c>
      <c r="N124" s="13">
        <v>1.0</v>
      </c>
      <c r="O124" s="13">
        <v>1.0</v>
      </c>
      <c r="P124" s="15">
        <f t="shared" si="5"/>
        <v>1</v>
      </c>
      <c r="R124" s="3" t="s">
        <v>66</v>
      </c>
      <c r="S124" s="3" t="s">
        <v>66</v>
      </c>
      <c r="T124" s="3" t="s">
        <v>66</v>
      </c>
      <c r="W124" s="18">
        <f t="shared" ref="W124:X124" si="126">(H124+J124+L124+N124)/4</f>
        <v>1</v>
      </c>
      <c r="X124" s="18">
        <f t="shared" si="126"/>
        <v>1</v>
      </c>
    </row>
    <row r="125">
      <c r="A125" s="12" t="s">
        <v>123</v>
      </c>
      <c r="B125" s="12" t="s">
        <v>28</v>
      </c>
      <c r="C125" s="12" t="s">
        <v>286</v>
      </c>
      <c r="D125" s="12" t="s">
        <v>124</v>
      </c>
      <c r="E125" s="11" t="s">
        <v>309</v>
      </c>
      <c r="F125" s="12" t="s">
        <v>126</v>
      </c>
      <c r="G125" s="10" t="s">
        <v>33</v>
      </c>
      <c r="H125" s="13">
        <v>1.0</v>
      </c>
      <c r="I125" s="13">
        <v>1.0</v>
      </c>
      <c r="J125" s="13">
        <v>1.0</v>
      </c>
      <c r="K125" s="13">
        <v>1.0</v>
      </c>
      <c r="L125" s="13">
        <v>0.5</v>
      </c>
      <c r="M125" s="13">
        <v>1.0</v>
      </c>
      <c r="N125" s="13">
        <v>1.0</v>
      </c>
      <c r="O125" s="13">
        <v>1.0</v>
      </c>
      <c r="P125" s="15">
        <f t="shared" si="5"/>
        <v>0.875</v>
      </c>
      <c r="R125" s="3" t="s">
        <v>66</v>
      </c>
      <c r="S125" s="3" t="s">
        <v>66</v>
      </c>
      <c r="T125" s="3" t="s">
        <v>66</v>
      </c>
      <c r="W125" s="18">
        <f t="shared" ref="W125:X125" si="127">(H125+J125+L125+N125)/4</f>
        <v>0.875</v>
      </c>
      <c r="X125" s="18">
        <f t="shared" si="127"/>
        <v>1</v>
      </c>
    </row>
    <row r="126">
      <c r="A126" s="12" t="s">
        <v>127</v>
      </c>
      <c r="B126" s="12" t="s">
        <v>28</v>
      </c>
      <c r="C126" s="12" t="s">
        <v>286</v>
      </c>
      <c r="D126" s="12" t="s">
        <v>128</v>
      </c>
      <c r="E126" s="11" t="s">
        <v>310</v>
      </c>
      <c r="F126" s="12" t="s">
        <v>130</v>
      </c>
      <c r="G126" s="10" t="s">
        <v>33</v>
      </c>
      <c r="H126" s="13">
        <v>1.0</v>
      </c>
      <c r="I126" s="13">
        <v>1.0</v>
      </c>
      <c r="J126" s="13">
        <v>1.0</v>
      </c>
      <c r="K126" s="13">
        <v>1.0</v>
      </c>
      <c r="L126" s="13">
        <v>1.0</v>
      </c>
      <c r="M126" s="13">
        <v>1.0</v>
      </c>
      <c r="N126" s="13">
        <v>1.0</v>
      </c>
      <c r="O126" s="13">
        <v>1.0</v>
      </c>
      <c r="P126" s="15">
        <f t="shared" si="5"/>
        <v>1</v>
      </c>
      <c r="R126" s="3" t="s">
        <v>66</v>
      </c>
      <c r="S126" s="3" t="s">
        <v>66</v>
      </c>
      <c r="T126" s="3" t="s">
        <v>66</v>
      </c>
      <c r="W126" s="18">
        <f t="shared" ref="W126:X126" si="128">(H126+J126+L126+N126)/4</f>
        <v>1</v>
      </c>
      <c r="X126" s="18">
        <f t="shared" si="128"/>
        <v>1</v>
      </c>
    </row>
    <row r="127">
      <c r="A127" s="12" t="s">
        <v>131</v>
      </c>
      <c r="B127" s="12" t="s">
        <v>28</v>
      </c>
      <c r="C127" s="12" t="s">
        <v>286</v>
      </c>
      <c r="D127" s="12" t="s">
        <v>132</v>
      </c>
      <c r="E127" s="11" t="s">
        <v>311</v>
      </c>
      <c r="F127" s="12" t="s">
        <v>134</v>
      </c>
      <c r="G127" s="10" t="s">
        <v>33</v>
      </c>
      <c r="H127" s="13">
        <v>1.0</v>
      </c>
      <c r="I127" s="13">
        <v>1.0</v>
      </c>
      <c r="J127" s="13">
        <v>1.0</v>
      </c>
      <c r="K127" s="13">
        <v>1.0</v>
      </c>
      <c r="L127" s="13">
        <v>1.0</v>
      </c>
      <c r="M127" s="13">
        <v>1.0</v>
      </c>
      <c r="N127" s="13">
        <v>1.0</v>
      </c>
      <c r="O127" s="13">
        <v>1.0</v>
      </c>
      <c r="P127" s="15">
        <f t="shared" si="5"/>
        <v>1</v>
      </c>
      <c r="R127" s="3" t="s">
        <v>66</v>
      </c>
      <c r="S127" s="3" t="s">
        <v>66</v>
      </c>
      <c r="T127" s="3" t="s">
        <v>66</v>
      </c>
      <c r="W127" s="18">
        <f t="shared" ref="W127:X127" si="129">(H127+J127+L127+N127)/4</f>
        <v>1</v>
      </c>
      <c r="X127" s="18">
        <f t="shared" si="129"/>
        <v>1</v>
      </c>
    </row>
    <row r="128">
      <c r="A128" s="12" t="s">
        <v>135</v>
      </c>
      <c r="B128" s="12" t="s">
        <v>28</v>
      </c>
      <c r="C128" s="12" t="s">
        <v>286</v>
      </c>
      <c r="D128" s="12" t="s">
        <v>136</v>
      </c>
      <c r="E128" s="11" t="s">
        <v>312</v>
      </c>
      <c r="F128" s="12" t="s">
        <v>138</v>
      </c>
      <c r="G128" s="10" t="s">
        <v>33</v>
      </c>
      <c r="H128" s="13">
        <v>1.0</v>
      </c>
      <c r="I128" s="13">
        <v>1.0</v>
      </c>
      <c r="J128" s="13">
        <v>1.0</v>
      </c>
      <c r="K128" s="13">
        <v>1.0</v>
      </c>
      <c r="L128" s="13">
        <v>1.0</v>
      </c>
      <c r="M128" s="13">
        <v>1.0</v>
      </c>
      <c r="N128" s="13">
        <v>1.0</v>
      </c>
      <c r="O128" s="13">
        <v>1.0</v>
      </c>
      <c r="P128" s="15">
        <f t="shared" si="5"/>
        <v>1</v>
      </c>
      <c r="R128" s="3" t="s">
        <v>66</v>
      </c>
      <c r="S128" s="3" t="s">
        <v>66</v>
      </c>
      <c r="T128" s="3" t="s">
        <v>66</v>
      </c>
      <c r="W128" s="18">
        <f t="shared" ref="W128:X128" si="130">(H128+J128+L128+N128)/4</f>
        <v>1</v>
      </c>
      <c r="X128" s="18">
        <f t="shared" si="130"/>
        <v>1</v>
      </c>
    </row>
    <row r="129">
      <c r="A129" s="12" t="s">
        <v>139</v>
      </c>
      <c r="B129" s="12" t="s">
        <v>28</v>
      </c>
      <c r="C129" s="12" t="s">
        <v>286</v>
      </c>
      <c r="D129" s="12" t="s">
        <v>140</v>
      </c>
      <c r="E129" s="11" t="s">
        <v>313</v>
      </c>
      <c r="F129" s="12" t="s">
        <v>142</v>
      </c>
      <c r="G129" s="10" t="s">
        <v>33</v>
      </c>
      <c r="H129" s="13">
        <v>0.5</v>
      </c>
      <c r="I129" s="13">
        <v>1.0</v>
      </c>
      <c r="J129" s="13">
        <v>0.5</v>
      </c>
      <c r="K129" s="13">
        <v>1.0</v>
      </c>
      <c r="L129" s="13">
        <v>0.5</v>
      </c>
      <c r="M129" s="13">
        <v>1.0</v>
      </c>
      <c r="N129" s="13">
        <v>1.0</v>
      </c>
      <c r="O129" s="13">
        <v>1.0</v>
      </c>
      <c r="P129" s="15">
        <f t="shared" si="5"/>
        <v>0.625</v>
      </c>
      <c r="R129" s="3" t="s">
        <v>66</v>
      </c>
      <c r="S129" s="3" t="s">
        <v>66</v>
      </c>
      <c r="T129" s="3" t="s">
        <v>66</v>
      </c>
      <c r="W129" s="18">
        <f t="shared" ref="W129:X129" si="131">(H129+J129+L129+N129)/4</f>
        <v>0.625</v>
      </c>
      <c r="X129" s="18">
        <f t="shared" si="131"/>
        <v>1</v>
      </c>
    </row>
    <row r="130">
      <c r="A130" s="12" t="s">
        <v>143</v>
      </c>
      <c r="B130" s="12" t="s">
        <v>28</v>
      </c>
      <c r="C130" s="12" t="s">
        <v>286</v>
      </c>
      <c r="D130" s="12" t="s">
        <v>144</v>
      </c>
      <c r="E130" s="11" t="s">
        <v>314</v>
      </c>
      <c r="F130" s="12" t="s">
        <v>146</v>
      </c>
      <c r="G130" s="10" t="s">
        <v>33</v>
      </c>
      <c r="H130" s="13">
        <v>1.0</v>
      </c>
      <c r="I130" s="13">
        <v>1.0</v>
      </c>
      <c r="J130" s="13">
        <v>1.0</v>
      </c>
      <c r="K130" s="13">
        <v>1.0</v>
      </c>
      <c r="L130" s="13">
        <v>0.5</v>
      </c>
      <c r="M130" s="13">
        <v>1.0</v>
      </c>
      <c r="N130" s="13">
        <v>1.0</v>
      </c>
      <c r="O130" s="13">
        <v>1.0</v>
      </c>
      <c r="P130" s="15">
        <f t="shared" si="5"/>
        <v>0.875</v>
      </c>
      <c r="R130" s="3" t="s">
        <v>66</v>
      </c>
      <c r="S130" s="3" t="s">
        <v>66</v>
      </c>
      <c r="T130" s="3" t="s">
        <v>66</v>
      </c>
      <c r="W130" s="18">
        <f t="shared" ref="W130:X130" si="132">(H130+J130+L130+N130)/4</f>
        <v>0.875</v>
      </c>
      <c r="X130" s="18">
        <f t="shared" si="132"/>
        <v>1</v>
      </c>
    </row>
    <row r="131">
      <c r="A131" s="12" t="s">
        <v>147</v>
      </c>
      <c r="B131" s="12" t="s">
        <v>28</v>
      </c>
      <c r="C131" s="12" t="s">
        <v>286</v>
      </c>
      <c r="D131" s="12" t="s">
        <v>148</v>
      </c>
      <c r="E131" s="11" t="s">
        <v>315</v>
      </c>
      <c r="F131" s="12" t="s">
        <v>150</v>
      </c>
      <c r="G131" s="10" t="s">
        <v>33</v>
      </c>
      <c r="H131" s="13">
        <v>1.0</v>
      </c>
      <c r="I131" s="13">
        <v>1.0</v>
      </c>
      <c r="J131" s="13">
        <v>1.0</v>
      </c>
      <c r="K131" s="13">
        <v>1.0</v>
      </c>
      <c r="L131" s="13">
        <v>1.0</v>
      </c>
      <c r="M131" s="13">
        <v>1.0</v>
      </c>
      <c r="N131" s="13">
        <v>1.0</v>
      </c>
      <c r="O131" s="13">
        <v>1.0</v>
      </c>
      <c r="P131" s="15">
        <f t="shared" si="5"/>
        <v>1</v>
      </c>
      <c r="R131" s="3" t="s">
        <v>66</v>
      </c>
      <c r="S131" s="3" t="s">
        <v>66</v>
      </c>
      <c r="T131" s="3" t="s">
        <v>66</v>
      </c>
      <c r="W131" s="18">
        <f t="shared" ref="W131:X131" si="133">(H131+J131+L131+N131)/4</f>
        <v>1</v>
      </c>
      <c r="X131" s="18">
        <f t="shared" si="133"/>
        <v>1</v>
      </c>
    </row>
    <row r="132">
      <c r="A132" s="12" t="s">
        <v>151</v>
      </c>
      <c r="B132" s="12" t="s">
        <v>28</v>
      </c>
      <c r="C132" s="12" t="s">
        <v>286</v>
      </c>
      <c r="D132" s="12" t="s">
        <v>152</v>
      </c>
      <c r="E132" s="11" t="s">
        <v>316</v>
      </c>
      <c r="F132" s="12" t="s">
        <v>154</v>
      </c>
      <c r="G132" s="10" t="s">
        <v>33</v>
      </c>
      <c r="H132" s="13">
        <v>1.0</v>
      </c>
      <c r="I132" s="13">
        <v>1.0</v>
      </c>
      <c r="J132" s="13">
        <v>1.0</v>
      </c>
      <c r="K132" s="13">
        <v>1.0</v>
      </c>
      <c r="L132" s="13">
        <v>1.0</v>
      </c>
      <c r="M132" s="13">
        <v>1.0</v>
      </c>
      <c r="N132" s="13">
        <v>1.0</v>
      </c>
      <c r="O132" s="13">
        <v>1.0</v>
      </c>
      <c r="P132" s="15">
        <f t="shared" si="5"/>
        <v>1</v>
      </c>
      <c r="R132" s="3" t="s">
        <v>66</v>
      </c>
      <c r="S132" s="3" t="s">
        <v>66</v>
      </c>
      <c r="T132" s="3" t="s">
        <v>66</v>
      </c>
      <c r="W132" s="18">
        <f t="shared" ref="W132:X132" si="134">(H132+J132+L132+N132)/4</f>
        <v>1</v>
      </c>
      <c r="X132" s="18">
        <f t="shared" si="134"/>
        <v>1</v>
      </c>
    </row>
    <row r="133">
      <c r="A133" s="12" t="s">
        <v>155</v>
      </c>
      <c r="B133" s="12" t="s">
        <v>28</v>
      </c>
      <c r="C133" s="12" t="s">
        <v>286</v>
      </c>
      <c r="D133" s="12" t="s">
        <v>156</v>
      </c>
      <c r="E133" s="11" t="s">
        <v>317</v>
      </c>
      <c r="F133" s="12" t="s">
        <v>158</v>
      </c>
      <c r="G133" s="10" t="s">
        <v>33</v>
      </c>
      <c r="H133" s="13">
        <v>1.0</v>
      </c>
      <c r="I133" s="13">
        <v>1.0</v>
      </c>
      <c r="J133" s="13">
        <v>1.0</v>
      </c>
      <c r="K133" s="13">
        <v>1.0</v>
      </c>
      <c r="L133" s="13">
        <v>1.0</v>
      </c>
      <c r="M133" s="13">
        <v>1.0</v>
      </c>
      <c r="N133" s="13">
        <v>1.0</v>
      </c>
      <c r="O133" s="13">
        <v>1.0</v>
      </c>
      <c r="P133" s="15">
        <f t="shared" si="5"/>
        <v>1</v>
      </c>
      <c r="R133" s="3" t="s">
        <v>66</v>
      </c>
      <c r="S133" s="3" t="s">
        <v>66</v>
      </c>
      <c r="T133" s="3" t="s">
        <v>66</v>
      </c>
      <c r="W133" s="18">
        <f t="shared" ref="W133:X133" si="135">(H133+J133+L133+N133)/4</f>
        <v>1</v>
      </c>
      <c r="X133" s="18">
        <f t="shared" si="135"/>
        <v>1</v>
      </c>
    </row>
    <row r="134">
      <c r="A134" s="12" t="s">
        <v>159</v>
      </c>
      <c r="B134" s="12" t="s">
        <v>28</v>
      </c>
      <c r="C134" s="12" t="s">
        <v>286</v>
      </c>
      <c r="D134" s="12" t="s">
        <v>160</v>
      </c>
      <c r="E134" s="11" t="s">
        <v>318</v>
      </c>
      <c r="F134" s="12" t="s">
        <v>162</v>
      </c>
      <c r="G134" s="10" t="s">
        <v>33</v>
      </c>
      <c r="H134" s="13">
        <v>0.5</v>
      </c>
      <c r="I134" s="13">
        <v>1.0</v>
      </c>
      <c r="J134" s="13">
        <v>1.0</v>
      </c>
      <c r="K134" s="13">
        <v>1.0</v>
      </c>
      <c r="L134" s="13">
        <v>0.5</v>
      </c>
      <c r="M134" s="13">
        <v>1.0</v>
      </c>
      <c r="N134" s="13">
        <v>1.0</v>
      </c>
      <c r="O134" s="13">
        <v>1.0</v>
      </c>
      <c r="P134" s="15">
        <f t="shared" si="5"/>
        <v>0.75</v>
      </c>
      <c r="R134" s="3" t="s">
        <v>66</v>
      </c>
      <c r="S134" s="3" t="s">
        <v>66</v>
      </c>
      <c r="T134" s="3" t="s">
        <v>66</v>
      </c>
      <c r="W134" s="18">
        <f t="shared" ref="W134:X134" si="136">(H134+J134+L134+N134)/4</f>
        <v>0.75</v>
      </c>
      <c r="X134" s="18">
        <f t="shared" si="136"/>
        <v>1</v>
      </c>
    </row>
    <row r="135">
      <c r="A135" s="12" t="s">
        <v>163</v>
      </c>
      <c r="B135" s="12" t="s">
        <v>28</v>
      </c>
      <c r="C135" s="12" t="s">
        <v>286</v>
      </c>
      <c r="D135" s="12" t="s">
        <v>164</v>
      </c>
      <c r="E135" s="11" t="s">
        <v>319</v>
      </c>
      <c r="F135" s="12" t="s">
        <v>166</v>
      </c>
      <c r="G135" s="10" t="s">
        <v>33</v>
      </c>
      <c r="H135" s="13">
        <v>1.0</v>
      </c>
      <c r="I135" s="13">
        <v>1.0</v>
      </c>
      <c r="J135" s="13">
        <v>1.0</v>
      </c>
      <c r="K135" s="13">
        <v>1.0</v>
      </c>
      <c r="L135" s="13">
        <v>1.0</v>
      </c>
      <c r="M135" s="13">
        <v>1.0</v>
      </c>
      <c r="N135" s="13">
        <v>1.0</v>
      </c>
      <c r="O135" s="13">
        <v>1.0</v>
      </c>
      <c r="P135" s="15">
        <f t="shared" si="5"/>
        <v>1</v>
      </c>
      <c r="R135" s="3" t="s">
        <v>66</v>
      </c>
      <c r="S135" s="3" t="s">
        <v>66</v>
      </c>
      <c r="T135" s="3" t="s">
        <v>66</v>
      </c>
      <c r="W135" s="18">
        <f t="shared" ref="W135:X135" si="137">(H135+J135+L135+N135)/4</f>
        <v>1</v>
      </c>
      <c r="X135" s="18">
        <f t="shared" si="137"/>
        <v>1</v>
      </c>
    </row>
    <row r="136">
      <c r="A136" s="12" t="s">
        <v>167</v>
      </c>
      <c r="B136" s="12" t="s">
        <v>28</v>
      </c>
      <c r="C136" s="12" t="s">
        <v>286</v>
      </c>
      <c r="D136" s="12" t="s">
        <v>168</v>
      </c>
      <c r="E136" s="11" t="s">
        <v>320</v>
      </c>
      <c r="F136" s="12" t="s">
        <v>170</v>
      </c>
      <c r="G136" s="10" t="s">
        <v>33</v>
      </c>
      <c r="H136" s="13">
        <v>1.0</v>
      </c>
      <c r="I136" s="13">
        <v>1.0</v>
      </c>
      <c r="J136" s="13">
        <v>1.0</v>
      </c>
      <c r="K136" s="13">
        <v>1.0</v>
      </c>
      <c r="L136" s="13">
        <v>0.5</v>
      </c>
      <c r="M136" s="13">
        <v>1.0</v>
      </c>
      <c r="N136" s="13">
        <v>1.0</v>
      </c>
      <c r="O136" s="13">
        <v>1.0</v>
      </c>
      <c r="P136" s="15">
        <f t="shared" si="5"/>
        <v>0.875</v>
      </c>
      <c r="R136" s="3" t="s">
        <v>66</v>
      </c>
      <c r="S136" s="3" t="s">
        <v>66</v>
      </c>
      <c r="T136" s="3" t="s">
        <v>66</v>
      </c>
      <c r="W136" s="18">
        <f t="shared" ref="W136:X136" si="138">(H136+J136+L136+N136)/4</f>
        <v>0.875</v>
      </c>
      <c r="X136" s="18">
        <f t="shared" si="138"/>
        <v>1</v>
      </c>
    </row>
    <row r="137">
      <c r="A137" s="12" t="s">
        <v>171</v>
      </c>
      <c r="B137" s="12" t="s">
        <v>28</v>
      </c>
      <c r="C137" s="12" t="s">
        <v>286</v>
      </c>
      <c r="D137" s="12" t="s">
        <v>172</v>
      </c>
      <c r="E137" s="11" t="s">
        <v>321</v>
      </c>
      <c r="F137" s="12" t="s">
        <v>174</v>
      </c>
      <c r="G137" s="10" t="s">
        <v>33</v>
      </c>
      <c r="H137" s="13">
        <v>1.0</v>
      </c>
      <c r="I137" s="13">
        <v>1.0</v>
      </c>
      <c r="J137" s="13">
        <v>1.0</v>
      </c>
      <c r="K137" s="13">
        <v>1.0</v>
      </c>
      <c r="L137" s="13">
        <v>1.0</v>
      </c>
      <c r="M137" s="13">
        <v>1.0</v>
      </c>
      <c r="N137" s="13">
        <v>1.0</v>
      </c>
      <c r="O137" s="13">
        <v>1.0</v>
      </c>
      <c r="P137" s="15">
        <f t="shared" si="5"/>
        <v>1</v>
      </c>
      <c r="R137" s="3" t="s">
        <v>66</v>
      </c>
      <c r="S137" s="3" t="s">
        <v>66</v>
      </c>
      <c r="T137" s="3" t="s">
        <v>66</v>
      </c>
      <c r="W137" s="18">
        <f t="shared" ref="W137:X137" si="139">(H137+J137+L137+N137)/4</f>
        <v>1</v>
      </c>
      <c r="X137" s="18">
        <f t="shared" si="139"/>
        <v>1</v>
      </c>
    </row>
    <row r="138">
      <c r="A138" s="12" t="s">
        <v>175</v>
      </c>
      <c r="B138" s="12" t="s">
        <v>28</v>
      </c>
      <c r="C138" s="12" t="s">
        <v>286</v>
      </c>
      <c r="D138" s="12" t="s">
        <v>176</v>
      </c>
      <c r="E138" s="11" t="s">
        <v>322</v>
      </c>
      <c r="F138" s="12" t="s">
        <v>178</v>
      </c>
      <c r="G138" s="10" t="s">
        <v>33</v>
      </c>
      <c r="H138" s="13">
        <v>1.0</v>
      </c>
      <c r="I138" s="13">
        <v>1.0</v>
      </c>
      <c r="J138" s="13">
        <v>1.0</v>
      </c>
      <c r="K138" s="13">
        <v>1.0</v>
      </c>
      <c r="L138" s="13">
        <v>0.5</v>
      </c>
      <c r="M138" s="13">
        <v>1.0</v>
      </c>
      <c r="N138" s="13">
        <v>1.0</v>
      </c>
      <c r="O138" s="13">
        <v>1.0</v>
      </c>
      <c r="P138" s="15">
        <f t="shared" si="5"/>
        <v>0.875</v>
      </c>
      <c r="R138" s="3" t="s">
        <v>66</v>
      </c>
      <c r="S138" s="3" t="s">
        <v>66</v>
      </c>
      <c r="T138" s="3" t="s">
        <v>66</v>
      </c>
      <c r="W138" s="18">
        <f t="shared" ref="W138:X138" si="140">(H138+J138+L138+N138)/4</f>
        <v>0.875</v>
      </c>
      <c r="X138" s="18">
        <f t="shared" si="140"/>
        <v>1</v>
      </c>
    </row>
    <row r="139">
      <c r="A139" s="12" t="s">
        <v>179</v>
      </c>
      <c r="B139" s="12" t="s">
        <v>28</v>
      </c>
      <c r="C139" s="12" t="s">
        <v>286</v>
      </c>
      <c r="D139" s="12" t="s">
        <v>180</v>
      </c>
      <c r="E139" s="11" t="s">
        <v>323</v>
      </c>
      <c r="F139" s="12" t="s">
        <v>182</v>
      </c>
      <c r="G139" s="10" t="s">
        <v>33</v>
      </c>
      <c r="H139" s="13">
        <v>1.0</v>
      </c>
      <c r="I139" s="13">
        <v>1.0</v>
      </c>
      <c r="J139" s="13">
        <v>1.0</v>
      </c>
      <c r="K139" s="13">
        <v>1.0</v>
      </c>
      <c r="L139" s="13">
        <v>1.0</v>
      </c>
      <c r="M139" s="13">
        <v>1.0</v>
      </c>
      <c r="N139" s="13">
        <v>1.0</v>
      </c>
      <c r="O139" s="13">
        <v>1.0</v>
      </c>
      <c r="P139" s="15">
        <f t="shared" si="5"/>
        <v>1</v>
      </c>
      <c r="R139" s="3" t="s">
        <v>66</v>
      </c>
      <c r="S139" s="3" t="s">
        <v>66</v>
      </c>
      <c r="T139" s="3" t="s">
        <v>66</v>
      </c>
      <c r="W139" s="18">
        <f t="shared" ref="W139:X139" si="141">(H139+J139+L139+N139)/4</f>
        <v>1</v>
      </c>
      <c r="X139" s="18">
        <f t="shared" si="141"/>
        <v>1</v>
      </c>
    </row>
    <row r="140">
      <c r="A140" s="12" t="s">
        <v>183</v>
      </c>
      <c r="B140" s="12" t="s">
        <v>28</v>
      </c>
      <c r="C140" s="12" t="s">
        <v>286</v>
      </c>
      <c r="D140" s="12" t="s">
        <v>184</v>
      </c>
      <c r="E140" s="11" t="s">
        <v>324</v>
      </c>
      <c r="F140" s="12" t="s">
        <v>186</v>
      </c>
      <c r="G140" s="10" t="s">
        <v>33</v>
      </c>
      <c r="H140" s="13">
        <v>1.0</v>
      </c>
      <c r="I140" s="13">
        <v>1.0</v>
      </c>
      <c r="J140" s="13">
        <v>1.0</v>
      </c>
      <c r="K140" s="13">
        <v>1.0</v>
      </c>
      <c r="L140" s="13">
        <v>1.0</v>
      </c>
      <c r="M140" s="13">
        <v>1.0</v>
      </c>
      <c r="N140" s="13">
        <v>1.0</v>
      </c>
      <c r="O140" s="13">
        <v>1.0</v>
      </c>
      <c r="P140" s="15">
        <f t="shared" si="5"/>
        <v>1</v>
      </c>
      <c r="R140" s="3" t="s">
        <v>66</v>
      </c>
      <c r="S140" s="3" t="s">
        <v>66</v>
      </c>
      <c r="T140" s="3" t="s">
        <v>66</v>
      </c>
      <c r="W140" s="18">
        <f t="shared" ref="W140:X140" si="142">(H140+J140+L140+N140)/4</f>
        <v>1</v>
      </c>
      <c r="X140" s="18">
        <f t="shared" si="142"/>
        <v>1</v>
      </c>
    </row>
    <row r="141">
      <c r="A141" s="12" t="s">
        <v>187</v>
      </c>
      <c r="B141" s="12" t="s">
        <v>28</v>
      </c>
      <c r="C141" s="12" t="s">
        <v>286</v>
      </c>
      <c r="D141" s="12" t="s">
        <v>188</v>
      </c>
      <c r="E141" s="11" t="s">
        <v>325</v>
      </c>
      <c r="F141" s="12" t="s">
        <v>190</v>
      </c>
      <c r="G141" s="10" t="s">
        <v>33</v>
      </c>
      <c r="H141" s="13">
        <v>1.0</v>
      </c>
      <c r="I141" s="13">
        <v>1.0</v>
      </c>
      <c r="J141" s="13">
        <v>1.0</v>
      </c>
      <c r="K141" s="13">
        <v>1.0</v>
      </c>
      <c r="L141" s="13">
        <v>1.0</v>
      </c>
      <c r="M141" s="13">
        <v>1.0</v>
      </c>
      <c r="N141" s="13">
        <v>1.0</v>
      </c>
      <c r="O141" s="13">
        <v>1.0</v>
      </c>
      <c r="P141" s="15">
        <f t="shared" si="5"/>
        <v>1</v>
      </c>
      <c r="R141" s="3" t="s">
        <v>66</v>
      </c>
      <c r="S141" s="3" t="s">
        <v>66</v>
      </c>
      <c r="T141" s="3" t="s">
        <v>66</v>
      </c>
      <c r="W141" s="18">
        <f t="shared" ref="W141:X141" si="143">(H141+J141+L141+N141)/4</f>
        <v>1</v>
      </c>
      <c r="X141" s="18">
        <f t="shared" si="143"/>
        <v>1</v>
      </c>
    </row>
    <row r="142">
      <c r="A142" s="12" t="s">
        <v>191</v>
      </c>
      <c r="B142" s="12" t="s">
        <v>28</v>
      </c>
      <c r="C142" s="12" t="s">
        <v>286</v>
      </c>
      <c r="D142" s="12" t="s">
        <v>192</v>
      </c>
      <c r="E142" s="11" t="s">
        <v>326</v>
      </c>
      <c r="F142" s="12" t="s">
        <v>194</v>
      </c>
      <c r="G142" s="10" t="s">
        <v>33</v>
      </c>
      <c r="H142" s="13">
        <v>1.0</v>
      </c>
      <c r="I142" s="13">
        <v>1.0</v>
      </c>
      <c r="J142" s="13">
        <v>1.0</v>
      </c>
      <c r="K142" s="13">
        <v>1.0</v>
      </c>
      <c r="L142" s="13">
        <v>1.0</v>
      </c>
      <c r="M142" s="13">
        <v>1.0</v>
      </c>
      <c r="N142" s="13">
        <v>1.0</v>
      </c>
      <c r="O142" s="13">
        <v>1.0</v>
      </c>
      <c r="P142" s="15">
        <f t="shared" si="5"/>
        <v>1</v>
      </c>
      <c r="R142" s="3" t="s">
        <v>66</v>
      </c>
      <c r="S142" s="3" t="s">
        <v>66</v>
      </c>
      <c r="T142" s="3" t="s">
        <v>66</v>
      </c>
      <c r="W142" s="18">
        <f t="shared" ref="W142:X142" si="144">(H142+J142+L142+N142)/4</f>
        <v>1</v>
      </c>
      <c r="X142" s="18">
        <f t="shared" si="144"/>
        <v>1</v>
      </c>
    </row>
    <row r="143">
      <c r="A143" s="12" t="s">
        <v>195</v>
      </c>
      <c r="B143" s="12" t="s">
        <v>28</v>
      </c>
      <c r="C143" s="12" t="s">
        <v>286</v>
      </c>
      <c r="D143" s="12" t="s">
        <v>196</v>
      </c>
      <c r="E143" s="11" t="s">
        <v>327</v>
      </c>
      <c r="F143" s="12" t="s">
        <v>198</v>
      </c>
      <c r="G143" s="10" t="s">
        <v>33</v>
      </c>
      <c r="H143" s="13">
        <v>1.0</v>
      </c>
      <c r="I143" s="13">
        <v>1.0</v>
      </c>
      <c r="J143" s="13">
        <v>1.0</v>
      </c>
      <c r="K143" s="13">
        <v>1.0</v>
      </c>
      <c r="L143" s="13">
        <v>0.5</v>
      </c>
      <c r="M143" s="13">
        <v>1.0</v>
      </c>
      <c r="N143" s="13">
        <v>1.0</v>
      </c>
      <c r="O143" s="13">
        <v>1.0</v>
      </c>
      <c r="P143" s="15">
        <f t="shared" si="5"/>
        <v>0.875</v>
      </c>
      <c r="R143" s="3" t="s">
        <v>66</v>
      </c>
      <c r="S143" s="3" t="s">
        <v>66</v>
      </c>
      <c r="T143" s="3" t="s">
        <v>66</v>
      </c>
      <c r="W143" s="18">
        <f t="shared" ref="W143:X143" si="145">(H143+J143+L143+N143)/4</f>
        <v>0.875</v>
      </c>
      <c r="X143" s="18">
        <f t="shared" si="145"/>
        <v>1</v>
      </c>
    </row>
    <row r="144">
      <c r="A144" s="12" t="s">
        <v>199</v>
      </c>
      <c r="B144" s="12" t="s">
        <v>28</v>
      </c>
      <c r="C144" s="12" t="s">
        <v>286</v>
      </c>
      <c r="D144" s="12" t="s">
        <v>200</v>
      </c>
      <c r="E144" s="11" t="s">
        <v>328</v>
      </c>
      <c r="F144" s="12" t="s">
        <v>202</v>
      </c>
      <c r="G144" s="10" t="s">
        <v>33</v>
      </c>
      <c r="H144" s="13">
        <v>1.0</v>
      </c>
      <c r="I144" s="13">
        <v>1.0</v>
      </c>
      <c r="J144" s="13">
        <v>1.0</v>
      </c>
      <c r="K144" s="13">
        <v>1.0</v>
      </c>
      <c r="L144" s="13">
        <v>1.0</v>
      </c>
      <c r="M144" s="13">
        <v>1.0</v>
      </c>
      <c r="N144" s="13">
        <v>1.0</v>
      </c>
      <c r="O144" s="13">
        <v>1.0</v>
      </c>
      <c r="P144" s="15">
        <f t="shared" si="5"/>
        <v>1</v>
      </c>
      <c r="R144" s="3" t="s">
        <v>66</v>
      </c>
      <c r="S144" s="3" t="s">
        <v>66</v>
      </c>
      <c r="T144" s="3" t="s">
        <v>66</v>
      </c>
      <c r="W144" s="18">
        <f t="shared" ref="W144:X144" si="146">(H144+J144+L144+N144)/4</f>
        <v>1</v>
      </c>
      <c r="X144" s="18">
        <f t="shared" si="146"/>
        <v>1</v>
      </c>
    </row>
    <row r="145">
      <c r="A145" s="12" t="s">
        <v>203</v>
      </c>
      <c r="B145" s="12" t="s">
        <v>28</v>
      </c>
      <c r="C145" s="12" t="s">
        <v>286</v>
      </c>
      <c r="D145" s="12" t="s">
        <v>204</v>
      </c>
      <c r="E145" s="11" t="s">
        <v>329</v>
      </c>
      <c r="F145" s="12" t="s">
        <v>206</v>
      </c>
      <c r="G145" s="10" t="s">
        <v>33</v>
      </c>
      <c r="H145" s="13">
        <v>1.0</v>
      </c>
      <c r="I145" s="13">
        <v>1.0</v>
      </c>
      <c r="J145" s="13">
        <v>1.0</v>
      </c>
      <c r="K145" s="13">
        <v>1.0</v>
      </c>
      <c r="L145" s="13">
        <v>0.5</v>
      </c>
      <c r="M145" s="13">
        <v>1.0</v>
      </c>
      <c r="N145" s="13">
        <v>1.0</v>
      </c>
      <c r="O145" s="13">
        <v>1.0</v>
      </c>
      <c r="P145" s="15">
        <f t="shared" si="5"/>
        <v>0.875</v>
      </c>
      <c r="R145" s="3" t="s">
        <v>66</v>
      </c>
      <c r="S145" s="3" t="s">
        <v>66</v>
      </c>
      <c r="T145" s="3" t="s">
        <v>66</v>
      </c>
      <c r="W145" s="18">
        <f t="shared" ref="W145:X145" si="147">(H145+J145+L145+N145)/4</f>
        <v>0.875</v>
      </c>
      <c r="X145" s="18">
        <f t="shared" si="147"/>
        <v>1</v>
      </c>
    </row>
    <row r="146">
      <c r="A146" s="12" t="s">
        <v>207</v>
      </c>
      <c r="B146" s="12" t="s">
        <v>28</v>
      </c>
      <c r="C146" s="12" t="s">
        <v>286</v>
      </c>
      <c r="D146" s="12" t="s">
        <v>208</v>
      </c>
      <c r="E146" s="11" t="s">
        <v>330</v>
      </c>
      <c r="F146" s="12" t="s">
        <v>210</v>
      </c>
      <c r="G146" s="10" t="s">
        <v>33</v>
      </c>
      <c r="H146" s="13">
        <v>1.0</v>
      </c>
      <c r="I146" s="13">
        <v>1.0</v>
      </c>
      <c r="J146" s="13">
        <v>1.0</v>
      </c>
      <c r="K146" s="13">
        <v>1.0</v>
      </c>
      <c r="L146" s="13">
        <v>0.5</v>
      </c>
      <c r="M146" s="13">
        <v>1.0</v>
      </c>
      <c r="N146" s="13">
        <v>1.0</v>
      </c>
      <c r="O146" s="13">
        <v>1.0</v>
      </c>
      <c r="P146" s="15">
        <f t="shared" si="5"/>
        <v>0.875</v>
      </c>
      <c r="R146" s="3" t="s">
        <v>66</v>
      </c>
      <c r="S146" s="3" t="s">
        <v>66</v>
      </c>
      <c r="T146" s="3" t="s">
        <v>66</v>
      </c>
      <c r="W146" s="18">
        <f t="shared" ref="W146:X146" si="148">(H146+J146+L146+N146)/4</f>
        <v>0.875</v>
      </c>
      <c r="X146" s="18">
        <f t="shared" si="148"/>
        <v>1</v>
      </c>
    </row>
    <row r="147">
      <c r="A147" s="12" t="s">
        <v>211</v>
      </c>
      <c r="B147" s="12" t="s">
        <v>28</v>
      </c>
      <c r="C147" s="12" t="s">
        <v>286</v>
      </c>
      <c r="D147" s="12" t="s">
        <v>212</v>
      </c>
      <c r="E147" s="11" t="s">
        <v>331</v>
      </c>
      <c r="F147" s="12" t="s">
        <v>214</v>
      </c>
      <c r="G147" s="10" t="s">
        <v>33</v>
      </c>
      <c r="H147" s="13">
        <v>1.0</v>
      </c>
      <c r="I147" s="13">
        <v>1.0</v>
      </c>
      <c r="J147" s="13">
        <v>1.0</v>
      </c>
      <c r="K147" s="13">
        <v>1.0</v>
      </c>
      <c r="L147" s="13">
        <v>0.5</v>
      </c>
      <c r="M147" s="13">
        <v>1.0</v>
      </c>
      <c r="N147" s="13">
        <v>1.0</v>
      </c>
      <c r="O147" s="13">
        <v>1.0</v>
      </c>
      <c r="P147" s="15">
        <f t="shared" si="5"/>
        <v>0.875</v>
      </c>
      <c r="R147" s="3" t="s">
        <v>66</v>
      </c>
      <c r="S147" s="3" t="s">
        <v>66</v>
      </c>
      <c r="T147" s="3" t="s">
        <v>66</v>
      </c>
      <c r="W147" s="18">
        <f t="shared" ref="W147:X147" si="149">(H147+J147+L147+N147)/4</f>
        <v>0.875</v>
      </c>
      <c r="X147" s="18">
        <f t="shared" si="149"/>
        <v>1</v>
      </c>
    </row>
    <row r="148">
      <c r="A148" s="12" t="s">
        <v>215</v>
      </c>
      <c r="B148" s="12" t="s">
        <v>28</v>
      </c>
      <c r="C148" s="12" t="s">
        <v>286</v>
      </c>
      <c r="D148" s="12" t="s">
        <v>216</v>
      </c>
      <c r="E148" s="11" t="s">
        <v>332</v>
      </c>
      <c r="F148" s="12" t="s">
        <v>218</v>
      </c>
      <c r="G148" s="10" t="s">
        <v>33</v>
      </c>
      <c r="H148" s="13">
        <v>1.0</v>
      </c>
      <c r="I148" s="13">
        <v>1.0</v>
      </c>
      <c r="J148" s="13">
        <v>1.0</v>
      </c>
      <c r="K148" s="13">
        <v>1.0</v>
      </c>
      <c r="L148" s="13">
        <v>0.5</v>
      </c>
      <c r="M148" s="13">
        <v>1.0</v>
      </c>
      <c r="N148" s="13">
        <v>1.0</v>
      </c>
      <c r="O148" s="13">
        <v>1.0</v>
      </c>
      <c r="P148" s="15">
        <f t="shared" si="5"/>
        <v>0.875</v>
      </c>
      <c r="R148" s="3" t="s">
        <v>66</v>
      </c>
      <c r="S148" s="3" t="s">
        <v>66</v>
      </c>
      <c r="T148" s="3" t="s">
        <v>66</v>
      </c>
      <c r="W148" s="18">
        <f t="shared" ref="W148:X148" si="150">(H148+J148+L148+N148)/4</f>
        <v>0.875</v>
      </c>
      <c r="X148" s="18">
        <f t="shared" si="150"/>
        <v>1</v>
      </c>
    </row>
    <row r="149">
      <c r="A149" s="12" t="s">
        <v>219</v>
      </c>
      <c r="B149" s="12" t="s">
        <v>28</v>
      </c>
      <c r="C149" s="12" t="s">
        <v>286</v>
      </c>
      <c r="D149" s="12" t="s">
        <v>220</v>
      </c>
      <c r="E149" s="11" t="s">
        <v>333</v>
      </c>
      <c r="F149" s="12" t="s">
        <v>222</v>
      </c>
      <c r="G149" s="10" t="s">
        <v>33</v>
      </c>
      <c r="H149" s="13">
        <v>1.0</v>
      </c>
      <c r="I149" s="13">
        <v>1.0</v>
      </c>
      <c r="J149" s="13">
        <v>1.0</v>
      </c>
      <c r="K149" s="13">
        <v>1.0</v>
      </c>
      <c r="L149" s="13">
        <v>1.0</v>
      </c>
      <c r="M149" s="13">
        <v>1.0</v>
      </c>
      <c r="N149" s="13">
        <v>1.0</v>
      </c>
      <c r="O149" s="13">
        <v>1.0</v>
      </c>
      <c r="P149" s="15">
        <f t="shared" si="5"/>
        <v>1</v>
      </c>
      <c r="R149" s="3" t="s">
        <v>66</v>
      </c>
      <c r="S149" s="3" t="s">
        <v>66</v>
      </c>
      <c r="T149" s="3" t="s">
        <v>66</v>
      </c>
      <c r="W149" s="18">
        <f t="shared" ref="W149:X149" si="151">(H149+J149+L149+N149)/4</f>
        <v>1</v>
      </c>
      <c r="X149" s="18">
        <f t="shared" si="151"/>
        <v>1</v>
      </c>
    </row>
    <row r="150">
      <c r="A150" s="12" t="s">
        <v>223</v>
      </c>
      <c r="B150" s="12" t="s">
        <v>28</v>
      </c>
      <c r="C150" s="12" t="s">
        <v>286</v>
      </c>
      <c r="D150" s="12" t="s">
        <v>224</v>
      </c>
      <c r="E150" s="11" t="s">
        <v>334</v>
      </c>
      <c r="F150" s="12" t="s">
        <v>226</v>
      </c>
      <c r="G150" s="10" t="s">
        <v>39</v>
      </c>
      <c r="H150" s="13">
        <v>0.5</v>
      </c>
      <c r="I150" s="13">
        <v>0.5</v>
      </c>
      <c r="J150" s="13">
        <v>1.0</v>
      </c>
      <c r="K150" s="13">
        <v>1.0</v>
      </c>
      <c r="L150" s="13">
        <v>0.0</v>
      </c>
      <c r="M150" s="13">
        <v>0.0</v>
      </c>
      <c r="N150" s="13">
        <v>1.0</v>
      </c>
      <c r="O150" s="13">
        <v>0.5</v>
      </c>
      <c r="P150" s="15">
        <f t="shared" si="5"/>
        <v>0.875</v>
      </c>
      <c r="R150" s="3" t="s">
        <v>66</v>
      </c>
      <c r="S150" s="3" t="s">
        <v>66</v>
      </c>
      <c r="T150" s="3" t="s">
        <v>66</v>
      </c>
      <c r="W150" s="18">
        <f t="shared" ref="W150:X150" si="152">(H150+J150+L150+N150)/4</f>
        <v>0.625</v>
      </c>
      <c r="X150" s="18">
        <f t="shared" si="152"/>
        <v>0.5</v>
      </c>
    </row>
    <row r="151">
      <c r="A151" s="12" t="s">
        <v>227</v>
      </c>
      <c r="B151" s="12" t="s">
        <v>28</v>
      </c>
      <c r="C151" s="12" t="s">
        <v>286</v>
      </c>
      <c r="D151" s="12" t="s">
        <v>228</v>
      </c>
      <c r="E151" s="11" t="s">
        <v>335</v>
      </c>
      <c r="F151" s="12" t="s">
        <v>230</v>
      </c>
      <c r="G151" s="10" t="s">
        <v>33</v>
      </c>
      <c r="H151" s="13">
        <v>1.0</v>
      </c>
      <c r="I151" s="13">
        <v>1.0</v>
      </c>
      <c r="J151" s="13">
        <v>0.5</v>
      </c>
      <c r="K151" s="13">
        <v>1.0</v>
      </c>
      <c r="L151" s="13">
        <v>1.0</v>
      </c>
      <c r="M151" s="13">
        <v>1.0</v>
      </c>
      <c r="N151" s="13">
        <v>1.0</v>
      </c>
      <c r="O151" s="13">
        <v>1.0</v>
      </c>
      <c r="P151" s="15">
        <f t="shared" si="5"/>
        <v>0.875</v>
      </c>
      <c r="R151" s="3" t="s">
        <v>66</v>
      </c>
      <c r="S151" s="3" t="s">
        <v>66</v>
      </c>
      <c r="T151" s="3" t="s">
        <v>66</v>
      </c>
      <c r="W151" s="18">
        <f t="shared" ref="W151:X151" si="153">(H151+J151+L151+N151)/4</f>
        <v>0.875</v>
      </c>
      <c r="X151" s="18">
        <f t="shared" si="153"/>
        <v>1</v>
      </c>
    </row>
    <row r="152">
      <c r="A152" s="12" t="s">
        <v>231</v>
      </c>
      <c r="B152" s="12" t="s">
        <v>28</v>
      </c>
      <c r="C152" s="12" t="s">
        <v>286</v>
      </c>
      <c r="D152" s="12" t="s">
        <v>232</v>
      </c>
      <c r="E152" s="11" t="s">
        <v>336</v>
      </c>
      <c r="F152" s="12" t="s">
        <v>234</v>
      </c>
      <c r="G152" s="10" t="s">
        <v>39</v>
      </c>
      <c r="H152" s="13">
        <v>0.5</v>
      </c>
      <c r="I152" s="13">
        <v>0.5</v>
      </c>
      <c r="J152" s="13">
        <v>1.0</v>
      </c>
      <c r="K152" s="13">
        <v>1.0</v>
      </c>
      <c r="L152" s="13">
        <v>0.0</v>
      </c>
      <c r="M152" s="13">
        <v>0.0</v>
      </c>
      <c r="N152" s="13">
        <v>0.5</v>
      </c>
      <c r="O152" s="13">
        <v>0.5</v>
      </c>
      <c r="P152" s="15">
        <f t="shared" si="5"/>
        <v>1</v>
      </c>
      <c r="R152" s="3" t="s">
        <v>66</v>
      </c>
      <c r="S152" s="3" t="s">
        <v>66</v>
      </c>
      <c r="T152" s="3" t="s">
        <v>66</v>
      </c>
      <c r="W152" s="18">
        <f t="shared" ref="W152:X152" si="154">(H152+J152+L152+N152)/4</f>
        <v>0.5</v>
      </c>
      <c r="X152" s="18">
        <f t="shared" si="154"/>
        <v>0.5</v>
      </c>
    </row>
    <row r="153">
      <c r="B153" s="23"/>
      <c r="C153" s="23"/>
      <c r="E153" s="24"/>
      <c r="G153" s="23"/>
      <c r="H153" s="23"/>
      <c r="I153" s="23"/>
      <c r="J153" s="23"/>
      <c r="K153" s="23"/>
      <c r="L153" s="23"/>
      <c r="M153" s="23"/>
      <c r="N153" s="23"/>
      <c r="O153" s="23"/>
      <c r="Q153" s="23"/>
      <c r="S153" s="23"/>
    </row>
    <row r="154">
      <c r="B154" s="23"/>
      <c r="C154" s="23"/>
      <c r="E154" s="24"/>
      <c r="G154" s="23"/>
      <c r="H154" s="23"/>
      <c r="I154" s="23"/>
      <c r="J154" s="23"/>
      <c r="K154" s="23"/>
      <c r="L154" s="23"/>
      <c r="M154" s="23"/>
      <c r="N154" s="23"/>
      <c r="O154" s="23"/>
      <c r="Q154" s="23"/>
      <c r="S154" s="23"/>
    </row>
    <row r="155">
      <c r="B155" s="23"/>
      <c r="C155" s="23"/>
      <c r="E155" s="24"/>
      <c r="G155" s="23"/>
      <c r="H155" s="23"/>
      <c r="I155" s="23"/>
      <c r="J155" s="23"/>
      <c r="K155" s="23"/>
      <c r="L155" s="23"/>
      <c r="M155" s="23"/>
      <c r="N155" s="23"/>
      <c r="O155" s="23"/>
      <c r="Q155" s="23"/>
      <c r="S155" s="23"/>
    </row>
    <row r="156">
      <c r="B156" s="23"/>
      <c r="C156" s="23"/>
      <c r="E156" s="24"/>
      <c r="G156" s="23"/>
      <c r="H156" s="23"/>
      <c r="I156" s="23"/>
      <c r="J156" s="23"/>
      <c r="K156" s="23"/>
      <c r="L156" s="23"/>
      <c r="M156" s="23"/>
      <c r="N156" s="23"/>
      <c r="O156" s="23"/>
      <c r="Q156" s="23"/>
      <c r="S156" s="23"/>
    </row>
    <row r="157">
      <c r="B157" s="23"/>
      <c r="C157" s="23"/>
      <c r="E157" s="24"/>
      <c r="G157" s="23"/>
      <c r="H157" s="23"/>
      <c r="I157" s="23"/>
      <c r="J157" s="23"/>
      <c r="K157" s="23"/>
      <c r="L157" s="23"/>
      <c r="M157" s="23"/>
      <c r="N157" s="23"/>
      <c r="O157" s="23"/>
      <c r="Q157" s="23"/>
      <c r="S157" s="23"/>
    </row>
    <row r="158">
      <c r="B158" s="23"/>
      <c r="C158" s="23"/>
      <c r="E158" s="24"/>
      <c r="G158" s="23"/>
      <c r="H158" s="23"/>
      <c r="I158" s="23"/>
      <c r="J158" s="23"/>
      <c r="K158" s="23"/>
      <c r="L158" s="23"/>
      <c r="M158" s="23"/>
      <c r="N158" s="23"/>
      <c r="O158" s="23"/>
      <c r="Q158" s="23"/>
      <c r="S158" s="23"/>
    </row>
    <row r="159">
      <c r="B159" s="23"/>
      <c r="C159" s="23"/>
      <c r="E159" s="24"/>
      <c r="G159" s="23"/>
      <c r="H159" s="23"/>
      <c r="I159" s="23"/>
      <c r="J159" s="23"/>
      <c r="K159" s="23"/>
      <c r="L159" s="23"/>
      <c r="M159" s="23"/>
      <c r="N159" s="23"/>
      <c r="O159" s="23"/>
      <c r="Q159" s="23"/>
      <c r="S159" s="23"/>
    </row>
    <row r="160">
      <c r="B160" s="23"/>
      <c r="C160" s="23"/>
      <c r="E160" s="24"/>
      <c r="G160" s="23"/>
      <c r="H160" s="23"/>
      <c r="I160" s="23"/>
      <c r="J160" s="23"/>
      <c r="K160" s="23"/>
      <c r="L160" s="23"/>
      <c r="M160" s="23"/>
      <c r="N160" s="23"/>
      <c r="O160" s="23"/>
      <c r="Q160" s="23"/>
      <c r="S160" s="23"/>
    </row>
    <row r="161">
      <c r="B161" s="23"/>
      <c r="C161" s="23"/>
      <c r="E161" s="24"/>
      <c r="G161" s="23"/>
      <c r="H161" s="23"/>
      <c r="I161" s="23"/>
      <c r="J161" s="23"/>
      <c r="K161" s="23"/>
      <c r="L161" s="23"/>
      <c r="M161" s="23"/>
      <c r="N161" s="23"/>
      <c r="O161" s="23"/>
      <c r="Q161" s="23"/>
      <c r="S161" s="23"/>
    </row>
    <row r="162">
      <c r="B162" s="23"/>
      <c r="C162" s="23"/>
      <c r="E162" s="24"/>
      <c r="G162" s="23"/>
      <c r="H162" s="23"/>
      <c r="I162" s="23"/>
      <c r="J162" s="23"/>
      <c r="K162" s="23"/>
      <c r="L162" s="23"/>
      <c r="M162" s="23"/>
      <c r="N162" s="23"/>
      <c r="O162" s="23"/>
      <c r="Q162" s="23"/>
      <c r="S162" s="23"/>
    </row>
    <row r="163">
      <c r="B163" s="23"/>
      <c r="C163" s="23"/>
      <c r="E163" s="24"/>
      <c r="G163" s="23"/>
      <c r="H163" s="23"/>
      <c r="I163" s="23"/>
      <c r="J163" s="23"/>
      <c r="K163" s="23"/>
      <c r="L163" s="23"/>
      <c r="M163" s="23"/>
      <c r="N163" s="23"/>
      <c r="O163" s="23"/>
      <c r="Q163" s="23"/>
      <c r="S163" s="23"/>
    </row>
    <row r="164">
      <c r="B164" s="23"/>
      <c r="C164" s="23"/>
      <c r="E164" s="24"/>
      <c r="G164" s="23"/>
      <c r="H164" s="23"/>
      <c r="I164" s="23"/>
      <c r="J164" s="23"/>
      <c r="K164" s="23"/>
      <c r="L164" s="23"/>
      <c r="M164" s="23"/>
      <c r="N164" s="23"/>
      <c r="O164" s="23"/>
      <c r="Q164" s="23"/>
      <c r="S164" s="23"/>
    </row>
    <row r="165">
      <c r="B165" s="23"/>
      <c r="C165" s="23"/>
      <c r="E165" s="24"/>
      <c r="G165" s="23"/>
      <c r="H165" s="23"/>
      <c r="I165" s="23"/>
      <c r="J165" s="23"/>
      <c r="K165" s="23"/>
      <c r="L165" s="23"/>
      <c r="M165" s="23"/>
      <c r="N165" s="23"/>
      <c r="O165" s="23"/>
      <c r="Q165" s="23"/>
      <c r="S165" s="23"/>
    </row>
    <row r="166">
      <c r="B166" s="23"/>
      <c r="C166" s="23"/>
      <c r="E166" s="24"/>
      <c r="G166" s="23"/>
      <c r="H166" s="23"/>
      <c r="I166" s="23"/>
      <c r="J166" s="23"/>
      <c r="K166" s="23"/>
      <c r="L166" s="23"/>
      <c r="M166" s="23"/>
      <c r="N166" s="23"/>
      <c r="O166" s="23"/>
      <c r="Q166" s="23"/>
      <c r="S166" s="23"/>
    </row>
    <row r="167">
      <c r="B167" s="23"/>
      <c r="C167" s="23"/>
      <c r="E167" s="24"/>
      <c r="G167" s="23"/>
      <c r="H167" s="23"/>
      <c r="I167" s="23"/>
      <c r="J167" s="23"/>
      <c r="K167" s="23"/>
      <c r="L167" s="23"/>
      <c r="M167" s="23"/>
      <c r="N167" s="23"/>
      <c r="O167" s="23"/>
      <c r="Q167" s="23"/>
      <c r="S167" s="23"/>
    </row>
    <row r="168">
      <c r="B168" s="23"/>
      <c r="C168" s="23"/>
      <c r="E168" s="24"/>
      <c r="G168" s="23"/>
      <c r="H168" s="23"/>
      <c r="I168" s="23"/>
      <c r="J168" s="23"/>
      <c r="K168" s="23"/>
      <c r="L168" s="23"/>
      <c r="M168" s="23"/>
      <c r="N168" s="23"/>
      <c r="O168" s="23"/>
      <c r="Q168" s="23"/>
      <c r="S168" s="23"/>
    </row>
    <row r="169">
      <c r="B169" s="23"/>
      <c r="C169" s="23"/>
      <c r="E169" s="24"/>
      <c r="G169" s="23"/>
      <c r="H169" s="23"/>
      <c r="I169" s="23"/>
      <c r="J169" s="23"/>
      <c r="K169" s="23"/>
      <c r="L169" s="23"/>
      <c r="M169" s="23"/>
      <c r="N169" s="23"/>
      <c r="O169" s="23"/>
      <c r="Q169" s="23"/>
      <c r="S169" s="23"/>
    </row>
    <row r="170">
      <c r="B170" s="23"/>
      <c r="C170" s="23"/>
      <c r="E170" s="24"/>
      <c r="G170" s="23"/>
      <c r="H170" s="23"/>
      <c r="I170" s="23"/>
      <c r="J170" s="23"/>
      <c r="K170" s="23"/>
      <c r="L170" s="23"/>
      <c r="M170" s="23"/>
      <c r="N170" s="23"/>
      <c r="O170" s="23"/>
      <c r="Q170" s="23"/>
      <c r="S170" s="23"/>
    </row>
    <row r="171">
      <c r="B171" s="23"/>
      <c r="C171" s="23"/>
      <c r="E171" s="24"/>
      <c r="G171" s="23"/>
      <c r="H171" s="23"/>
      <c r="I171" s="23"/>
      <c r="J171" s="23"/>
      <c r="K171" s="23"/>
      <c r="L171" s="23"/>
      <c r="M171" s="23"/>
      <c r="N171" s="23"/>
      <c r="O171" s="23"/>
      <c r="Q171" s="23"/>
      <c r="S171" s="23"/>
    </row>
    <row r="172">
      <c r="B172" s="23"/>
      <c r="C172" s="23"/>
      <c r="E172" s="24"/>
      <c r="G172" s="23"/>
      <c r="H172" s="23"/>
      <c r="I172" s="23"/>
      <c r="J172" s="23"/>
      <c r="K172" s="23"/>
      <c r="L172" s="23"/>
      <c r="M172" s="23"/>
      <c r="N172" s="23"/>
      <c r="O172" s="23"/>
      <c r="Q172" s="23"/>
      <c r="S172" s="23"/>
    </row>
    <row r="173">
      <c r="B173" s="23"/>
      <c r="C173" s="23"/>
      <c r="E173" s="24"/>
      <c r="G173" s="23"/>
      <c r="H173" s="23"/>
      <c r="I173" s="23"/>
      <c r="J173" s="23"/>
      <c r="K173" s="23"/>
      <c r="L173" s="23"/>
      <c r="M173" s="23"/>
      <c r="N173" s="23"/>
      <c r="O173" s="23"/>
      <c r="Q173" s="23"/>
      <c r="S173" s="23"/>
    </row>
    <row r="174">
      <c r="B174" s="23"/>
      <c r="C174" s="23"/>
      <c r="E174" s="24"/>
      <c r="G174" s="23"/>
      <c r="H174" s="23"/>
      <c r="I174" s="23"/>
      <c r="J174" s="23"/>
      <c r="K174" s="23"/>
      <c r="L174" s="23"/>
      <c r="M174" s="23"/>
      <c r="N174" s="23"/>
      <c r="O174" s="23"/>
      <c r="Q174" s="23"/>
      <c r="S174" s="23"/>
    </row>
    <row r="175">
      <c r="B175" s="23"/>
      <c r="C175" s="23"/>
      <c r="E175" s="24"/>
      <c r="G175" s="23"/>
      <c r="H175" s="23"/>
      <c r="I175" s="23"/>
      <c r="J175" s="23"/>
      <c r="K175" s="23"/>
      <c r="L175" s="23"/>
      <c r="M175" s="23"/>
      <c r="N175" s="23"/>
      <c r="O175" s="23"/>
      <c r="Q175" s="23"/>
      <c r="S175" s="23"/>
    </row>
    <row r="176">
      <c r="B176" s="23"/>
      <c r="C176" s="23"/>
      <c r="E176" s="24"/>
      <c r="G176" s="23"/>
      <c r="H176" s="23"/>
      <c r="I176" s="23"/>
      <c r="J176" s="23"/>
      <c r="K176" s="23"/>
      <c r="L176" s="23"/>
      <c r="M176" s="23"/>
      <c r="N176" s="23"/>
      <c r="O176" s="23"/>
      <c r="Q176" s="23"/>
      <c r="S176" s="23"/>
    </row>
    <row r="177">
      <c r="B177" s="23"/>
      <c r="C177" s="23"/>
      <c r="E177" s="24"/>
      <c r="G177" s="23"/>
      <c r="H177" s="23"/>
      <c r="I177" s="23"/>
      <c r="J177" s="23"/>
      <c r="K177" s="23"/>
      <c r="L177" s="23"/>
      <c r="M177" s="23"/>
      <c r="N177" s="23"/>
      <c r="O177" s="23"/>
      <c r="Q177" s="23"/>
      <c r="S177" s="23"/>
    </row>
    <row r="178">
      <c r="B178" s="23"/>
      <c r="C178" s="23"/>
      <c r="E178" s="24"/>
      <c r="G178" s="23"/>
      <c r="H178" s="23"/>
      <c r="I178" s="23"/>
      <c r="J178" s="23"/>
      <c r="K178" s="23"/>
      <c r="L178" s="23"/>
      <c r="M178" s="23"/>
      <c r="N178" s="23"/>
      <c r="O178" s="23"/>
      <c r="Q178" s="23"/>
      <c r="S178" s="23"/>
    </row>
    <row r="179">
      <c r="B179" s="23"/>
      <c r="C179" s="23"/>
      <c r="E179" s="24"/>
      <c r="G179" s="23"/>
      <c r="H179" s="23"/>
      <c r="I179" s="23"/>
      <c r="J179" s="23"/>
      <c r="K179" s="23"/>
      <c r="L179" s="23"/>
      <c r="M179" s="23"/>
      <c r="N179" s="23"/>
      <c r="O179" s="23"/>
      <c r="Q179" s="23"/>
      <c r="S179" s="23"/>
    </row>
    <row r="180">
      <c r="B180" s="23"/>
      <c r="C180" s="23"/>
      <c r="E180" s="24"/>
      <c r="G180" s="23"/>
      <c r="H180" s="23"/>
      <c r="I180" s="23"/>
      <c r="J180" s="23"/>
      <c r="K180" s="23"/>
      <c r="L180" s="23"/>
      <c r="M180" s="23"/>
      <c r="N180" s="23"/>
      <c r="O180" s="23"/>
      <c r="Q180" s="23"/>
      <c r="S180" s="23"/>
    </row>
    <row r="181">
      <c r="B181" s="23"/>
      <c r="C181" s="23"/>
      <c r="E181" s="24"/>
      <c r="G181" s="23"/>
      <c r="H181" s="23"/>
      <c r="I181" s="23"/>
      <c r="J181" s="23"/>
      <c r="K181" s="23"/>
      <c r="L181" s="23"/>
      <c r="M181" s="23"/>
      <c r="N181" s="23"/>
      <c r="O181" s="23"/>
      <c r="Q181" s="23"/>
      <c r="S181" s="23"/>
    </row>
    <row r="182">
      <c r="B182" s="23"/>
      <c r="C182" s="23"/>
      <c r="E182" s="24"/>
      <c r="G182" s="23"/>
      <c r="H182" s="23"/>
      <c r="I182" s="23"/>
      <c r="J182" s="23"/>
      <c r="K182" s="23"/>
      <c r="L182" s="23"/>
      <c r="M182" s="23"/>
      <c r="N182" s="23"/>
      <c r="O182" s="23"/>
      <c r="Q182" s="23"/>
      <c r="S182" s="23"/>
    </row>
    <row r="183">
      <c r="B183" s="23"/>
      <c r="C183" s="23"/>
      <c r="E183" s="24"/>
      <c r="G183" s="23"/>
      <c r="H183" s="23"/>
      <c r="I183" s="23"/>
      <c r="J183" s="23"/>
      <c r="K183" s="23"/>
      <c r="L183" s="23"/>
      <c r="M183" s="23"/>
      <c r="N183" s="23"/>
      <c r="O183" s="23"/>
      <c r="Q183" s="23"/>
      <c r="S183" s="23"/>
    </row>
    <row r="184">
      <c r="B184" s="23"/>
      <c r="C184" s="23"/>
      <c r="E184" s="24"/>
      <c r="G184" s="23"/>
      <c r="H184" s="23"/>
      <c r="I184" s="23"/>
      <c r="J184" s="23"/>
      <c r="K184" s="23"/>
      <c r="L184" s="23"/>
      <c r="M184" s="23"/>
      <c r="N184" s="23"/>
      <c r="O184" s="23"/>
      <c r="Q184" s="23"/>
      <c r="S184" s="23"/>
    </row>
    <row r="185">
      <c r="B185" s="23"/>
      <c r="C185" s="23"/>
      <c r="E185" s="24"/>
      <c r="G185" s="23"/>
      <c r="H185" s="23"/>
      <c r="I185" s="23"/>
      <c r="J185" s="23"/>
      <c r="K185" s="23"/>
      <c r="L185" s="23"/>
      <c r="M185" s="23"/>
      <c r="N185" s="23"/>
      <c r="O185" s="23"/>
      <c r="Q185" s="23"/>
      <c r="S185" s="23"/>
    </row>
    <row r="186">
      <c r="B186" s="23"/>
      <c r="C186" s="23"/>
      <c r="E186" s="24"/>
      <c r="G186" s="23"/>
      <c r="H186" s="23"/>
      <c r="I186" s="23"/>
      <c r="J186" s="23"/>
      <c r="K186" s="23"/>
      <c r="L186" s="23"/>
      <c r="M186" s="23"/>
      <c r="N186" s="23"/>
      <c r="O186" s="23"/>
      <c r="Q186" s="23"/>
      <c r="S186" s="23"/>
    </row>
    <row r="187">
      <c r="B187" s="23"/>
      <c r="C187" s="23"/>
      <c r="E187" s="24"/>
      <c r="G187" s="23"/>
      <c r="H187" s="23"/>
      <c r="I187" s="23"/>
      <c r="J187" s="23"/>
      <c r="K187" s="23"/>
      <c r="L187" s="23"/>
      <c r="M187" s="23"/>
      <c r="N187" s="23"/>
      <c r="O187" s="23"/>
      <c r="Q187" s="23"/>
      <c r="S187" s="23"/>
    </row>
    <row r="188">
      <c r="B188" s="23"/>
      <c r="C188" s="23"/>
      <c r="E188" s="24"/>
      <c r="G188" s="23"/>
      <c r="H188" s="23"/>
      <c r="I188" s="23"/>
      <c r="J188" s="23"/>
      <c r="K188" s="23"/>
      <c r="L188" s="23"/>
      <c r="M188" s="23"/>
      <c r="N188" s="23"/>
      <c r="O188" s="23"/>
      <c r="Q188" s="23"/>
      <c r="S188" s="23"/>
    </row>
    <row r="189">
      <c r="B189" s="23"/>
      <c r="C189" s="23"/>
      <c r="E189" s="24"/>
      <c r="G189" s="23"/>
      <c r="H189" s="23"/>
      <c r="I189" s="23"/>
      <c r="J189" s="23"/>
      <c r="K189" s="23"/>
      <c r="L189" s="23"/>
      <c r="M189" s="23"/>
      <c r="N189" s="23"/>
      <c r="O189" s="23"/>
      <c r="Q189" s="23"/>
      <c r="S189" s="23"/>
    </row>
    <row r="190">
      <c r="B190" s="23"/>
      <c r="C190" s="23"/>
      <c r="E190" s="24"/>
      <c r="G190" s="23"/>
      <c r="H190" s="23"/>
      <c r="I190" s="23"/>
      <c r="J190" s="23"/>
      <c r="K190" s="23"/>
      <c r="L190" s="23"/>
      <c r="M190" s="23"/>
      <c r="N190" s="23"/>
      <c r="O190" s="23"/>
      <c r="Q190" s="23"/>
      <c r="S190" s="23"/>
    </row>
    <row r="191">
      <c r="B191" s="23"/>
      <c r="C191" s="23"/>
      <c r="E191" s="24"/>
      <c r="G191" s="23"/>
      <c r="H191" s="23"/>
      <c r="I191" s="23"/>
      <c r="J191" s="23"/>
      <c r="K191" s="23"/>
      <c r="L191" s="23"/>
      <c r="M191" s="23"/>
      <c r="N191" s="23"/>
      <c r="O191" s="23"/>
      <c r="Q191" s="23"/>
      <c r="S191" s="23"/>
    </row>
    <row r="192">
      <c r="B192" s="23"/>
      <c r="C192" s="23"/>
      <c r="E192" s="24"/>
      <c r="G192" s="23"/>
      <c r="H192" s="23"/>
      <c r="I192" s="23"/>
      <c r="J192" s="23"/>
      <c r="K192" s="23"/>
      <c r="L192" s="23"/>
      <c r="M192" s="23"/>
      <c r="N192" s="23"/>
      <c r="O192" s="23"/>
      <c r="Q192" s="23"/>
      <c r="S192" s="23"/>
    </row>
    <row r="193">
      <c r="B193" s="23"/>
      <c r="C193" s="23"/>
      <c r="E193" s="24"/>
      <c r="G193" s="23"/>
      <c r="H193" s="23"/>
      <c r="I193" s="23"/>
      <c r="J193" s="23"/>
      <c r="K193" s="23"/>
      <c r="L193" s="23"/>
      <c r="M193" s="23"/>
      <c r="N193" s="23"/>
      <c r="O193" s="23"/>
      <c r="Q193" s="23"/>
      <c r="S193" s="23"/>
    </row>
    <row r="194">
      <c r="B194" s="23"/>
      <c r="C194" s="23"/>
      <c r="E194" s="24"/>
      <c r="G194" s="23"/>
      <c r="H194" s="23"/>
      <c r="I194" s="23"/>
      <c r="J194" s="23"/>
      <c r="K194" s="23"/>
      <c r="L194" s="23"/>
      <c r="M194" s="23"/>
      <c r="N194" s="23"/>
      <c r="O194" s="23"/>
      <c r="Q194" s="23"/>
      <c r="S194" s="23"/>
    </row>
    <row r="195">
      <c r="B195" s="23"/>
      <c r="C195" s="23"/>
      <c r="E195" s="24"/>
      <c r="G195" s="23"/>
      <c r="H195" s="23"/>
      <c r="I195" s="23"/>
      <c r="J195" s="23"/>
      <c r="K195" s="23"/>
      <c r="L195" s="23"/>
      <c r="M195" s="23"/>
      <c r="N195" s="23"/>
      <c r="O195" s="23"/>
      <c r="Q195" s="23"/>
      <c r="S195" s="23"/>
    </row>
    <row r="196">
      <c r="B196" s="23"/>
      <c r="C196" s="23"/>
      <c r="E196" s="24"/>
      <c r="G196" s="23"/>
      <c r="H196" s="23"/>
      <c r="I196" s="23"/>
      <c r="J196" s="23"/>
      <c r="K196" s="23"/>
      <c r="L196" s="23"/>
      <c r="M196" s="23"/>
      <c r="N196" s="23"/>
      <c r="O196" s="23"/>
      <c r="Q196" s="23"/>
      <c r="S196" s="23"/>
    </row>
    <row r="197">
      <c r="B197" s="23"/>
      <c r="C197" s="23"/>
      <c r="E197" s="24"/>
      <c r="G197" s="23"/>
      <c r="H197" s="23"/>
      <c r="I197" s="23"/>
      <c r="J197" s="23"/>
      <c r="K197" s="23"/>
      <c r="L197" s="23"/>
      <c r="M197" s="23"/>
      <c r="N197" s="23"/>
      <c r="O197" s="23"/>
      <c r="Q197" s="23"/>
      <c r="S197" s="23"/>
    </row>
    <row r="198">
      <c r="B198" s="23"/>
      <c r="C198" s="23"/>
      <c r="E198" s="24"/>
      <c r="G198" s="23"/>
      <c r="H198" s="23"/>
      <c r="I198" s="23"/>
      <c r="J198" s="23"/>
      <c r="K198" s="23"/>
      <c r="L198" s="23"/>
      <c r="M198" s="23"/>
      <c r="N198" s="23"/>
      <c r="O198" s="23"/>
      <c r="Q198" s="23"/>
      <c r="S198" s="23"/>
    </row>
    <row r="199">
      <c r="B199" s="23"/>
      <c r="C199" s="23"/>
      <c r="E199" s="24"/>
      <c r="G199" s="23"/>
      <c r="H199" s="23"/>
      <c r="I199" s="23"/>
      <c r="J199" s="23"/>
      <c r="K199" s="23"/>
      <c r="L199" s="23"/>
      <c r="M199" s="23"/>
      <c r="N199" s="23"/>
      <c r="O199" s="23"/>
      <c r="Q199" s="23"/>
      <c r="S199" s="23"/>
    </row>
    <row r="200">
      <c r="B200" s="23"/>
      <c r="C200" s="23"/>
      <c r="E200" s="24"/>
      <c r="G200" s="23"/>
      <c r="H200" s="23"/>
      <c r="I200" s="23"/>
      <c r="J200" s="23"/>
      <c r="K200" s="23"/>
      <c r="L200" s="23"/>
      <c r="M200" s="23"/>
      <c r="N200" s="23"/>
      <c r="O200" s="23"/>
      <c r="Q200" s="23"/>
      <c r="S200" s="23"/>
    </row>
    <row r="201">
      <c r="B201" s="23"/>
      <c r="C201" s="23"/>
      <c r="E201" s="24"/>
      <c r="G201" s="23"/>
      <c r="H201" s="23"/>
      <c r="I201" s="23"/>
      <c r="J201" s="23"/>
      <c r="K201" s="23"/>
      <c r="L201" s="23"/>
      <c r="M201" s="23"/>
      <c r="N201" s="23"/>
      <c r="O201" s="23"/>
      <c r="Q201" s="23"/>
      <c r="S201" s="23"/>
    </row>
    <row r="202">
      <c r="B202" s="23"/>
      <c r="C202" s="23"/>
      <c r="E202" s="24"/>
      <c r="G202" s="23"/>
      <c r="H202" s="23"/>
      <c r="I202" s="23"/>
      <c r="J202" s="23"/>
      <c r="K202" s="23"/>
      <c r="L202" s="23"/>
      <c r="M202" s="23"/>
      <c r="N202" s="23"/>
      <c r="O202" s="23"/>
      <c r="Q202" s="23"/>
      <c r="S202" s="23"/>
    </row>
    <row r="203">
      <c r="B203" s="23"/>
      <c r="C203" s="23"/>
      <c r="E203" s="24"/>
      <c r="G203" s="23"/>
      <c r="H203" s="23"/>
      <c r="I203" s="23"/>
      <c r="J203" s="23"/>
      <c r="K203" s="23"/>
      <c r="L203" s="23"/>
      <c r="M203" s="23"/>
      <c r="N203" s="23"/>
      <c r="O203" s="23"/>
      <c r="Q203" s="23"/>
      <c r="S203" s="23"/>
    </row>
    <row r="204">
      <c r="B204" s="23"/>
      <c r="C204" s="23"/>
      <c r="E204" s="24"/>
      <c r="G204" s="23"/>
      <c r="H204" s="23"/>
      <c r="I204" s="23"/>
      <c r="J204" s="23"/>
      <c r="K204" s="23"/>
      <c r="L204" s="23"/>
      <c r="M204" s="23"/>
      <c r="N204" s="23"/>
      <c r="O204" s="23"/>
      <c r="Q204" s="23"/>
      <c r="S204" s="23"/>
    </row>
    <row r="205">
      <c r="B205" s="23"/>
      <c r="C205" s="23"/>
      <c r="E205" s="24"/>
      <c r="G205" s="23"/>
      <c r="H205" s="23"/>
      <c r="I205" s="23"/>
      <c r="J205" s="23"/>
      <c r="K205" s="23"/>
      <c r="L205" s="23"/>
      <c r="M205" s="23"/>
      <c r="N205" s="23"/>
      <c r="O205" s="23"/>
      <c r="Q205" s="23"/>
      <c r="S205" s="23"/>
    </row>
    <row r="206">
      <c r="B206" s="23"/>
      <c r="C206" s="23"/>
      <c r="E206" s="24"/>
      <c r="G206" s="23"/>
      <c r="H206" s="23"/>
      <c r="I206" s="23"/>
      <c r="J206" s="23"/>
      <c r="K206" s="23"/>
      <c r="L206" s="23"/>
      <c r="M206" s="23"/>
      <c r="N206" s="23"/>
      <c r="O206" s="23"/>
      <c r="Q206" s="23"/>
      <c r="S206" s="23"/>
    </row>
    <row r="207">
      <c r="B207" s="23"/>
      <c r="C207" s="23"/>
      <c r="E207" s="24"/>
      <c r="G207" s="23"/>
      <c r="H207" s="23"/>
      <c r="I207" s="23"/>
      <c r="J207" s="23"/>
      <c r="K207" s="23"/>
      <c r="L207" s="23"/>
      <c r="M207" s="23"/>
      <c r="N207" s="23"/>
      <c r="O207" s="23"/>
      <c r="Q207" s="23"/>
      <c r="S207" s="23"/>
    </row>
    <row r="208">
      <c r="B208" s="23"/>
      <c r="C208" s="23"/>
      <c r="E208" s="24"/>
      <c r="G208" s="23"/>
      <c r="H208" s="23"/>
      <c r="I208" s="23"/>
      <c r="J208" s="23"/>
      <c r="K208" s="23"/>
      <c r="L208" s="23"/>
      <c r="M208" s="23"/>
      <c r="N208" s="23"/>
      <c r="O208" s="23"/>
      <c r="Q208" s="23"/>
      <c r="S208" s="23"/>
    </row>
    <row r="209">
      <c r="B209" s="23"/>
      <c r="C209" s="23"/>
      <c r="E209" s="24"/>
      <c r="G209" s="23"/>
      <c r="H209" s="23"/>
      <c r="I209" s="23"/>
      <c r="J209" s="23"/>
      <c r="K209" s="23"/>
      <c r="L209" s="23"/>
      <c r="M209" s="23"/>
      <c r="N209" s="23"/>
      <c r="O209" s="23"/>
      <c r="Q209" s="23"/>
      <c r="S209" s="23"/>
    </row>
    <row r="210">
      <c r="B210" s="23"/>
      <c r="C210" s="23"/>
      <c r="E210" s="24"/>
      <c r="G210" s="23"/>
      <c r="H210" s="23"/>
      <c r="I210" s="23"/>
      <c r="J210" s="23"/>
      <c r="K210" s="23"/>
      <c r="L210" s="23"/>
      <c r="M210" s="23"/>
      <c r="N210" s="23"/>
      <c r="O210" s="23"/>
      <c r="Q210" s="23"/>
      <c r="S210" s="23"/>
    </row>
    <row r="211">
      <c r="B211" s="23"/>
      <c r="C211" s="23"/>
      <c r="E211" s="24"/>
      <c r="G211" s="23"/>
      <c r="H211" s="23"/>
      <c r="I211" s="23"/>
      <c r="J211" s="23"/>
      <c r="K211" s="23"/>
      <c r="L211" s="23"/>
      <c r="M211" s="23"/>
      <c r="N211" s="23"/>
      <c r="O211" s="23"/>
      <c r="Q211" s="23"/>
      <c r="S211" s="23"/>
    </row>
    <row r="212">
      <c r="B212" s="23"/>
      <c r="C212" s="23"/>
      <c r="E212" s="24"/>
      <c r="G212" s="23"/>
      <c r="H212" s="23"/>
      <c r="I212" s="23"/>
      <c r="J212" s="23"/>
      <c r="K212" s="23"/>
      <c r="L212" s="23"/>
      <c r="M212" s="23"/>
      <c r="N212" s="23"/>
      <c r="O212" s="23"/>
      <c r="Q212" s="23"/>
      <c r="S212" s="23"/>
    </row>
    <row r="213">
      <c r="B213" s="23"/>
      <c r="C213" s="23"/>
      <c r="E213" s="24"/>
      <c r="G213" s="23"/>
      <c r="H213" s="23"/>
      <c r="I213" s="23"/>
      <c r="J213" s="23"/>
      <c r="K213" s="23"/>
      <c r="L213" s="23"/>
      <c r="M213" s="23"/>
      <c r="N213" s="23"/>
      <c r="O213" s="23"/>
      <c r="Q213" s="23"/>
      <c r="S213" s="23"/>
    </row>
    <row r="214">
      <c r="B214" s="23"/>
      <c r="C214" s="23"/>
      <c r="E214" s="24"/>
      <c r="G214" s="23"/>
      <c r="H214" s="23"/>
      <c r="I214" s="23"/>
      <c r="J214" s="23"/>
      <c r="K214" s="23"/>
      <c r="L214" s="23"/>
      <c r="M214" s="23"/>
      <c r="N214" s="23"/>
      <c r="O214" s="23"/>
      <c r="Q214" s="23"/>
      <c r="S214" s="23"/>
    </row>
    <row r="215">
      <c r="B215" s="23"/>
      <c r="C215" s="23"/>
      <c r="E215" s="24"/>
      <c r="G215" s="23"/>
      <c r="H215" s="23"/>
      <c r="I215" s="23"/>
      <c r="J215" s="23"/>
      <c r="K215" s="23"/>
      <c r="L215" s="23"/>
      <c r="M215" s="23"/>
      <c r="N215" s="23"/>
      <c r="O215" s="23"/>
      <c r="Q215" s="23"/>
      <c r="S215" s="23"/>
    </row>
    <row r="216">
      <c r="B216" s="23"/>
      <c r="C216" s="23"/>
      <c r="E216" s="24"/>
      <c r="G216" s="23"/>
      <c r="H216" s="23"/>
      <c r="I216" s="23"/>
      <c r="J216" s="23"/>
      <c r="K216" s="23"/>
      <c r="L216" s="23"/>
      <c r="M216" s="23"/>
      <c r="N216" s="23"/>
      <c r="O216" s="23"/>
      <c r="Q216" s="23"/>
      <c r="S216" s="23"/>
    </row>
    <row r="217">
      <c r="B217" s="23"/>
      <c r="C217" s="23"/>
      <c r="E217" s="24"/>
      <c r="G217" s="23"/>
      <c r="H217" s="23"/>
      <c r="I217" s="23"/>
      <c r="J217" s="23"/>
      <c r="K217" s="23"/>
      <c r="L217" s="23"/>
      <c r="M217" s="23"/>
      <c r="N217" s="23"/>
      <c r="O217" s="23"/>
      <c r="Q217" s="23"/>
      <c r="S217" s="23"/>
    </row>
    <row r="218">
      <c r="B218" s="23"/>
      <c r="C218" s="23"/>
      <c r="E218" s="24"/>
      <c r="G218" s="23"/>
      <c r="H218" s="23"/>
      <c r="I218" s="23"/>
      <c r="J218" s="23"/>
      <c r="K218" s="23"/>
      <c r="L218" s="23"/>
      <c r="M218" s="23"/>
      <c r="N218" s="23"/>
      <c r="O218" s="23"/>
      <c r="Q218" s="23"/>
      <c r="S218" s="23"/>
    </row>
    <row r="219">
      <c r="B219" s="23"/>
      <c r="C219" s="23"/>
      <c r="E219" s="24"/>
      <c r="G219" s="23"/>
      <c r="H219" s="23"/>
      <c r="I219" s="23"/>
      <c r="J219" s="23"/>
      <c r="K219" s="23"/>
      <c r="L219" s="23"/>
      <c r="M219" s="23"/>
      <c r="N219" s="23"/>
      <c r="O219" s="23"/>
      <c r="Q219" s="23"/>
      <c r="S219" s="23"/>
    </row>
    <row r="220">
      <c r="B220" s="23"/>
      <c r="C220" s="23"/>
      <c r="E220" s="24"/>
      <c r="G220" s="23"/>
      <c r="H220" s="23"/>
      <c r="I220" s="23"/>
      <c r="J220" s="23"/>
      <c r="K220" s="23"/>
      <c r="L220" s="23"/>
      <c r="M220" s="23"/>
      <c r="N220" s="23"/>
      <c r="O220" s="23"/>
      <c r="Q220" s="23"/>
      <c r="S220" s="23"/>
    </row>
    <row r="221">
      <c r="B221" s="23"/>
      <c r="C221" s="23"/>
      <c r="E221" s="24"/>
      <c r="G221" s="23"/>
      <c r="H221" s="23"/>
      <c r="I221" s="23"/>
      <c r="J221" s="23"/>
      <c r="K221" s="23"/>
      <c r="L221" s="23"/>
      <c r="M221" s="23"/>
      <c r="N221" s="23"/>
      <c r="O221" s="23"/>
      <c r="Q221" s="23"/>
      <c r="S221" s="23"/>
    </row>
    <row r="222">
      <c r="B222" s="23"/>
      <c r="C222" s="23"/>
      <c r="E222" s="24"/>
      <c r="G222" s="23"/>
      <c r="H222" s="23"/>
      <c r="I222" s="23"/>
      <c r="J222" s="23"/>
      <c r="K222" s="23"/>
      <c r="L222" s="23"/>
      <c r="M222" s="23"/>
      <c r="N222" s="23"/>
      <c r="O222" s="23"/>
      <c r="Q222" s="23"/>
      <c r="S222" s="23"/>
    </row>
    <row r="223">
      <c r="B223" s="23"/>
      <c r="C223" s="23"/>
      <c r="E223" s="24"/>
      <c r="G223" s="23"/>
      <c r="H223" s="23"/>
      <c r="I223" s="23"/>
      <c r="J223" s="23"/>
      <c r="K223" s="23"/>
      <c r="L223" s="23"/>
      <c r="M223" s="23"/>
      <c r="N223" s="23"/>
      <c r="O223" s="23"/>
      <c r="Q223" s="23"/>
      <c r="S223" s="23"/>
    </row>
    <row r="224">
      <c r="B224" s="23"/>
      <c r="C224" s="23"/>
      <c r="E224" s="24"/>
      <c r="G224" s="23"/>
      <c r="H224" s="23"/>
      <c r="I224" s="23"/>
      <c r="J224" s="23"/>
      <c r="K224" s="23"/>
      <c r="L224" s="23"/>
      <c r="M224" s="23"/>
      <c r="N224" s="23"/>
      <c r="O224" s="23"/>
      <c r="Q224" s="23"/>
      <c r="S224" s="23"/>
    </row>
    <row r="225">
      <c r="B225" s="23"/>
      <c r="C225" s="23"/>
      <c r="E225" s="24"/>
      <c r="G225" s="23"/>
      <c r="H225" s="23"/>
      <c r="I225" s="23"/>
      <c r="J225" s="23"/>
      <c r="K225" s="23"/>
      <c r="L225" s="23"/>
      <c r="M225" s="23"/>
      <c r="N225" s="23"/>
      <c r="O225" s="23"/>
      <c r="Q225" s="23"/>
      <c r="S225" s="23"/>
    </row>
    <row r="226">
      <c r="B226" s="23"/>
      <c r="C226" s="23"/>
      <c r="E226" s="24"/>
      <c r="G226" s="23"/>
      <c r="H226" s="23"/>
      <c r="I226" s="23"/>
      <c r="J226" s="23"/>
      <c r="K226" s="23"/>
      <c r="L226" s="23"/>
      <c r="M226" s="23"/>
      <c r="N226" s="23"/>
      <c r="O226" s="23"/>
      <c r="Q226" s="23"/>
      <c r="S226" s="23"/>
    </row>
    <row r="227">
      <c r="B227" s="23"/>
      <c r="C227" s="23"/>
      <c r="E227" s="24"/>
      <c r="G227" s="23"/>
      <c r="H227" s="23"/>
      <c r="I227" s="23"/>
      <c r="J227" s="23"/>
      <c r="K227" s="23"/>
      <c r="L227" s="23"/>
      <c r="M227" s="23"/>
      <c r="N227" s="23"/>
      <c r="O227" s="23"/>
      <c r="Q227" s="23"/>
      <c r="S227" s="23"/>
    </row>
    <row r="228">
      <c r="B228" s="23"/>
      <c r="C228" s="23"/>
      <c r="E228" s="24"/>
      <c r="G228" s="23"/>
      <c r="H228" s="23"/>
      <c r="I228" s="23"/>
      <c r="J228" s="23"/>
      <c r="K228" s="23"/>
      <c r="L228" s="23"/>
      <c r="M228" s="23"/>
      <c r="N228" s="23"/>
      <c r="O228" s="23"/>
      <c r="Q228" s="23"/>
      <c r="S228" s="23"/>
    </row>
    <row r="229">
      <c r="B229" s="23"/>
      <c r="C229" s="23"/>
      <c r="E229" s="24"/>
      <c r="G229" s="23"/>
      <c r="H229" s="23"/>
      <c r="I229" s="23"/>
      <c r="J229" s="23"/>
      <c r="K229" s="23"/>
      <c r="L229" s="23"/>
      <c r="M229" s="23"/>
      <c r="N229" s="23"/>
      <c r="O229" s="23"/>
      <c r="Q229" s="23"/>
      <c r="S229" s="23"/>
    </row>
    <row r="230">
      <c r="B230" s="23"/>
      <c r="C230" s="23"/>
      <c r="E230" s="24"/>
      <c r="G230" s="23"/>
      <c r="H230" s="23"/>
      <c r="I230" s="23"/>
      <c r="J230" s="23"/>
      <c r="K230" s="23"/>
      <c r="L230" s="23"/>
      <c r="M230" s="23"/>
      <c r="N230" s="23"/>
      <c r="O230" s="23"/>
      <c r="Q230" s="23"/>
      <c r="S230" s="23"/>
    </row>
    <row r="231">
      <c r="B231" s="23"/>
      <c r="C231" s="23"/>
      <c r="E231" s="24"/>
      <c r="G231" s="23"/>
      <c r="H231" s="23"/>
      <c r="I231" s="23"/>
      <c r="J231" s="23"/>
      <c r="K231" s="23"/>
      <c r="L231" s="23"/>
      <c r="M231" s="23"/>
      <c r="N231" s="23"/>
      <c r="O231" s="23"/>
      <c r="Q231" s="23"/>
      <c r="S231" s="23"/>
    </row>
    <row r="232">
      <c r="B232" s="23"/>
      <c r="C232" s="23"/>
      <c r="E232" s="24"/>
      <c r="G232" s="23"/>
      <c r="H232" s="23"/>
      <c r="I232" s="23"/>
      <c r="J232" s="23"/>
      <c r="K232" s="23"/>
      <c r="L232" s="23"/>
      <c r="M232" s="23"/>
      <c r="N232" s="23"/>
      <c r="O232" s="23"/>
      <c r="Q232" s="23"/>
      <c r="S232" s="23"/>
    </row>
    <row r="233">
      <c r="B233" s="23"/>
      <c r="C233" s="23"/>
      <c r="E233" s="24"/>
      <c r="G233" s="23"/>
      <c r="H233" s="23"/>
      <c r="I233" s="23"/>
      <c r="J233" s="23"/>
      <c r="K233" s="23"/>
      <c r="L233" s="23"/>
      <c r="M233" s="23"/>
      <c r="N233" s="23"/>
      <c r="O233" s="23"/>
      <c r="Q233" s="23"/>
      <c r="S233" s="23"/>
    </row>
    <row r="234">
      <c r="B234" s="23"/>
      <c r="C234" s="23"/>
      <c r="E234" s="24"/>
      <c r="G234" s="23"/>
      <c r="H234" s="23"/>
      <c r="I234" s="23"/>
      <c r="J234" s="23"/>
      <c r="K234" s="23"/>
      <c r="L234" s="23"/>
      <c r="M234" s="23"/>
      <c r="N234" s="23"/>
      <c r="O234" s="23"/>
      <c r="Q234" s="23"/>
      <c r="S234" s="23"/>
    </row>
    <row r="235">
      <c r="B235" s="23"/>
      <c r="C235" s="23"/>
      <c r="E235" s="24"/>
      <c r="G235" s="23"/>
      <c r="H235" s="23"/>
      <c r="I235" s="23"/>
      <c r="J235" s="23"/>
      <c r="K235" s="23"/>
      <c r="L235" s="23"/>
      <c r="M235" s="23"/>
      <c r="N235" s="23"/>
      <c r="O235" s="23"/>
      <c r="Q235" s="23"/>
      <c r="S235" s="23"/>
    </row>
    <row r="236">
      <c r="B236" s="23"/>
      <c r="C236" s="23"/>
      <c r="E236" s="24"/>
      <c r="G236" s="23"/>
      <c r="H236" s="23"/>
      <c r="I236" s="23"/>
      <c r="J236" s="23"/>
      <c r="K236" s="23"/>
      <c r="L236" s="23"/>
      <c r="M236" s="23"/>
      <c r="N236" s="23"/>
      <c r="O236" s="23"/>
      <c r="Q236" s="23"/>
      <c r="S236" s="23"/>
    </row>
    <row r="237">
      <c r="B237" s="23"/>
      <c r="C237" s="23"/>
      <c r="E237" s="24"/>
      <c r="G237" s="23"/>
      <c r="H237" s="23"/>
      <c r="I237" s="23"/>
      <c r="J237" s="23"/>
      <c r="K237" s="23"/>
      <c r="L237" s="23"/>
      <c r="M237" s="23"/>
      <c r="N237" s="23"/>
      <c r="O237" s="23"/>
      <c r="Q237" s="23"/>
      <c r="S237" s="23"/>
    </row>
    <row r="238">
      <c r="B238" s="23"/>
      <c r="C238" s="23"/>
      <c r="E238" s="24"/>
      <c r="G238" s="23"/>
      <c r="H238" s="23"/>
      <c r="I238" s="23"/>
      <c r="J238" s="23"/>
      <c r="K238" s="23"/>
      <c r="L238" s="23"/>
      <c r="M238" s="23"/>
      <c r="N238" s="23"/>
      <c r="O238" s="23"/>
      <c r="Q238" s="23"/>
      <c r="S238" s="23"/>
    </row>
    <row r="239">
      <c r="B239" s="23"/>
      <c r="C239" s="23"/>
      <c r="E239" s="24"/>
      <c r="G239" s="23"/>
      <c r="H239" s="23"/>
      <c r="I239" s="23"/>
      <c r="J239" s="23"/>
      <c r="K239" s="23"/>
      <c r="L239" s="23"/>
      <c r="M239" s="23"/>
      <c r="N239" s="23"/>
      <c r="O239" s="23"/>
      <c r="Q239" s="23"/>
      <c r="S239" s="23"/>
    </row>
    <row r="240">
      <c r="B240" s="23"/>
      <c r="C240" s="23"/>
      <c r="E240" s="24"/>
      <c r="G240" s="23"/>
      <c r="H240" s="23"/>
      <c r="I240" s="23"/>
      <c r="J240" s="23"/>
      <c r="K240" s="23"/>
      <c r="L240" s="23"/>
      <c r="M240" s="23"/>
      <c r="N240" s="23"/>
      <c r="O240" s="23"/>
      <c r="Q240" s="23"/>
      <c r="S240" s="23"/>
    </row>
    <row r="241">
      <c r="B241" s="23"/>
      <c r="C241" s="23"/>
      <c r="E241" s="24"/>
      <c r="G241" s="23"/>
      <c r="H241" s="23"/>
      <c r="I241" s="23"/>
      <c r="J241" s="23"/>
      <c r="K241" s="23"/>
      <c r="L241" s="23"/>
      <c r="M241" s="23"/>
      <c r="N241" s="23"/>
      <c r="O241" s="23"/>
      <c r="Q241" s="23"/>
      <c r="S241" s="23"/>
    </row>
    <row r="242">
      <c r="B242" s="23"/>
      <c r="C242" s="23"/>
      <c r="E242" s="24"/>
      <c r="G242" s="23"/>
      <c r="H242" s="23"/>
      <c r="I242" s="23"/>
      <c r="J242" s="23"/>
      <c r="K242" s="23"/>
      <c r="L242" s="23"/>
      <c r="M242" s="23"/>
      <c r="N242" s="23"/>
      <c r="O242" s="23"/>
      <c r="Q242" s="23"/>
      <c r="S242" s="23"/>
    </row>
    <row r="243">
      <c r="B243" s="23"/>
      <c r="C243" s="23"/>
      <c r="E243" s="24"/>
      <c r="G243" s="23"/>
      <c r="H243" s="23"/>
      <c r="I243" s="23"/>
      <c r="J243" s="23"/>
      <c r="K243" s="23"/>
      <c r="L243" s="23"/>
      <c r="M243" s="23"/>
      <c r="N243" s="23"/>
      <c r="O243" s="23"/>
      <c r="Q243" s="23"/>
      <c r="S243" s="23"/>
    </row>
    <row r="244">
      <c r="B244" s="23"/>
      <c r="C244" s="23"/>
      <c r="E244" s="24"/>
      <c r="G244" s="23"/>
      <c r="H244" s="23"/>
      <c r="I244" s="23"/>
      <c r="J244" s="23"/>
      <c r="K244" s="23"/>
      <c r="L244" s="23"/>
      <c r="M244" s="23"/>
      <c r="N244" s="23"/>
      <c r="O244" s="23"/>
      <c r="Q244" s="23"/>
      <c r="S244" s="23"/>
    </row>
    <row r="245">
      <c r="B245" s="23"/>
      <c r="C245" s="23"/>
      <c r="E245" s="24"/>
      <c r="G245" s="23"/>
      <c r="H245" s="23"/>
      <c r="I245" s="23"/>
      <c r="J245" s="23"/>
      <c r="K245" s="23"/>
      <c r="L245" s="23"/>
      <c r="M245" s="23"/>
      <c r="N245" s="23"/>
      <c r="O245" s="23"/>
      <c r="Q245" s="23"/>
      <c r="S245" s="23"/>
    </row>
    <row r="246">
      <c r="B246" s="23"/>
      <c r="C246" s="23"/>
      <c r="E246" s="24"/>
      <c r="G246" s="23"/>
      <c r="H246" s="23"/>
      <c r="I246" s="23"/>
      <c r="J246" s="23"/>
      <c r="K246" s="23"/>
      <c r="L246" s="23"/>
      <c r="M246" s="23"/>
      <c r="N246" s="23"/>
      <c r="O246" s="23"/>
      <c r="Q246" s="23"/>
      <c r="S246" s="23"/>
    </row>
    <row r="247">
      <c r="B247" s="23"/>
      <c r="C247" s="23"/>
      <c r="E247" s="24"/>
      <c r="G247" s="23"/>
      <c r="H247" s="23"/>
      <c r="I247" s="23"/>
      <c r="J247" s="23"/>
      <c r="K247" s="23"/>
      <c r="L247" s="23"/>
      <c r="M247" s="23"/>
      <c r="N247" s="23"/>
      <c r="O247" s="23"/>
      <c r="Q247" s="23"/>
      <c r="S247" s="23"/>
    </row>
    <row r="248">
      <c r="B248" s="23"/>
      <c r="C248" s="23"/>
      <c r="E248" s="24"/>
      <c r="G248" s="23"/>
      <c r="H248" s="23"/>
      <c r="I248" s="23"/>
      <c r="J248" s="23"/>
      <c r="K248" s="23"/>
      <c r="L248" s="23"/>
      <c r="M248" s="23"/>
      <c r="N248" s="23"/>
      <c r="O248" s="23"/>
      <c r="Q248" s="23"/>
      <c r="S248" s="23"/>
    </row>
    <row r="249">
      <c r="B249" s="23"/>
      <c r="C249" s="23"/>
      <c r="E249" s="24"/>
      <c r="G249" s="23"/>
      <c r="H249" s="23"/>
      <c r="I249" s="23"/>
      <c r="J249" s="23"/>
      <c r="K249" s="23"/>
      <c r="L249" s="23"/>
      <c r="M249" s="23"/>
      <c r="N249" s="23"/>
      <c r="O249" s="23"/>
      <c r="Q249" s="23"/>
      <c r="S249" s="23"/>
    </row>
    <row r="250">
      <c r="B250" s="23"/>
      <c r="C250" s="23"/>
      <c r="E250" s="24"/>
      <c r="G250" s="23"/>
      <c r="H250" s="23"/>
      <c r="I250" s="23"/>
      <c r="J250" s="23"/>
      <c r="K250" s="23"/>
      <c r="L250" s="23"/>
      <c r="M250" s="23"/>
      <c r="N250" s="23"/>
      <c r="O250" s="23"/>
      <c r="Q250" s="23"/>
      <c r="S250" s="23"/>
    </row>
    <row r="251">
      <c r="B251" s="23"/>
      <c r="C251" s="23"/>
      <c r="E251" s="24"/>
      <c r="G251" s="23"/>
      <c r="H251" s="23"/>
      <c r="I251" s="23"/>
      <c r="J251" s="23"/>
      <c r="K251" s="23"/>
      <c r="L251" s="23"/>
      <c r="M251" s="23"/>
      <c r="N251" s="23"/>
      <c r="O251" s="23"/>
      <c r="Q251" s="23"/>
      <c r="S251" s="23"/>
    </row>
    <row r="252">
      <c r="B252" s="23"/>
      <c r="C252" s="23"/>
      <c r="E252" s="24"/>
      <c r="G252" s="23"/>
      <c r="H252" s="23"/>
      <c r="I252" s="23"/>
      <c r="J252" s="23"/>
      <c r="K252" s="23"/>
      <c r="L252" s="23"/>
      <c r="M252" s="23"/>
      <c r="N252" s="23"/>
      <c r="O252" s="23"/>
      <c r="Q252" s="23"/>
      <c r="S252" s="23"/>
    </row>
    <row r="253">
      <c r="B253" s="23"/>
      <c r="C253" s="23"/>
      <c r="E253" s="24"/>
      <c r="G253" s="23"/>
      <c r="H253" s="23"/>
      <c r="I253" s="23"/>
      <c r="J253" s="23"/>
      <c r="K253" s="23"/>
      <c r="L253" s="23"/>
      <c r="M253" s="23"/>
      <c r="N253" s="23"/>
      <c r="O253" s="23"/>
      <c r="Q253" s="23"/>
      <c r="S253" s="23"/>
    </row>
    <row r="254">
      <c r="B254" s="23"/>
      <c r="C254" s="23"/>
      <c r="E254" s="24"/>
      <c r="G254" s="23"/>
      <c r="H254" s="23"/>
      <c r="I254" s="23"/>
      <c r="J254" s="23"/>
      <c r="K254" s="23"/>
      <c r="L254" s="23"/>
      <c r="M254" s="23"/>
      <c r="N254" s="23"/>
      <c r="O254" s="23"/>
      <c r="Q254" s="23"/>
      <c r="S254" s="23"/>
    </row>
    <row r="255">
      <c r="B255" s="23"/>
      <c r="C255" s="23"/>
      <c r="E255" s="24"/>
      <c r="G255" s="23"/>
      <c r="H255" s="23"/>
      <c r="I255" s="23"/>
      <c r="J255" s="23"/>
      <c r="K255" s="23"/>
      <c r="L255" s="23"/>
      <c r="M255" s="23"/>
      <c r="N255" s="23"/>
      <c r="O255" s="23"/>
      <c r="Q255" s="23"/>
      <c r="S255" s="23"/>
    </row>
    <row r="256">
      <c r="B256" s="23"/>
      <c r="C256" s="23"/>
      <c r="E256" s="24"/>
      <c r="G256" s="23"/>
      <c r="H256" s="23"/>
      <c r="I256" s="23"/>
      <c r="J256" s="23"/>
      <c r="K256" s="23"/>
      <c r="L256" s="23"/>
      <c r="M256" s="23"/>
      <c r="N256" s="23"/>
      <c r="O256" s="23"/>
      <c r="Q256" s="23"/>
      <c r="S256" s="23"/>
    </row>
    <row r="257">
      <c r="B257" s="23"/>
      <c r="C257" s="23"/>
      <c r="E257" s="24"/>
      <c r="G257" s="23"/>
      <c r="H257" s="23"/>
      <c r="I257" s="23"/>
      <c r="J257" s="23"/>
      <c r="K257" s="23"/>
      <c r="L257" s="23"/>
      <c r="M257" s="23"/>
      <c r="N257" s="23"/>
      <c r="O257" s="23"/>
      <c r="Q257" s="23"/>
      <c r="S257" s="23"/>
    </row>
    <row r="258">
      <c r="B258" s="23"/>
      <c r="C258" s="23"/>
      <c r="E258" s="24"/>
      <c r="G258" s="23"/>
      <c r="H258" s="23"/>
      <c r="I258" s="23"/>
      <c r="J258" s="23"/>
      <c r="K258" s="23"/>
      <c r="L258" s="23"/>
      <c r="M258" s="23"/>
      <c r="N258" s="23"/>
      <c r="O258" s="23"/>
      <c r="Q258" s="23"/>
      <c r="S258" s="23"/>
    </row>
    <row r="259">
      <c r="B259" s="23"/>
      <c r="C259" s="23"/>
      <c r="E259" s="24"/>
      <c r="G259" s="23"/>
      <c r="H259" s="23"/>
      <c r="I259" s="23"/>
      <c r="J259" s="23"/>
      <c r="K259" s="23"/>
      <c r="L259" s="23"/>
      <c r="M259" s="23"/>
      <c r="N259" s="23"/>
      <c r="O259" s="23"/>
      <c r="Q259" s="23"/>
      <c r="S259" s="23"/>
    </row>
    <row r="260">
      <c r="B260" s="23"/>
      <c r="C260" s="23"/>
      <c r="E260" s="24"/>
      <c r="G260" s="23"/>
      <c r="H260" s="23"/>
      <c r="I260" s="23"/>
      <c r="J260" s="23"/>
      <c r="K260" s="23"/>
      <c r="L260" s="23"/>
      <c r="M260" s="23"/>
      <c r="N260" s="23"/>
      <c r="O260" s="23"/>
      <c r="Q260" s="23"/>
      <c r="S260" s="23"/>
    </row>
    <row r="261">
      <c r="B261" s="23"/>
      <c r="C261" s="23"/>
      <c r="E261" s="24"/>
      <c r="G261" s="23"/>
      <c r="H261" s="23"/>
      <c r="I261" s="23"/>
      <c r="J261" s="23"/>
      <c r="K261" s="23"/>
      <c r="L261" s="23"/>
      <c r="M261" s="23"/>
      <c r="N261" s="23"/>
      <c r="O261" s="23"/>
      <c r="Q261" s="23"/>
      <c r="S261" s="23"/>
    </row>
    <row r="262">
      <c r="B262" s="23"/>
      <c r="C262" s="23"/>
      <c r="E262" s="24"/>
      <c r="G262" s="23"/>
      <c r="H262" s="23"/>
      <c r="I262" s="23"/>
      <c r="J262" s="23"/>
      <c r="K262" s="23"/>
      <c r="L262" s="23"/>
      <c r="M262" s="23"/>
      <c r="N262" s="23"/>
      <c r="O262" s="23"/>
      <c r="Q262" s="23"/>
      <c r="S262" s="23"/>
    </row>
    <row r="263">
      <c r="B263" s="23"/>
      <c r="C263" s="23"/>
      <c r="E263" s="24"/>
      <c r="G263" s="23"/>
      <c r="H263" s="23"/>
      <c r="I263" s="23"/>
      <c r="J263" s="23"/>
      <c r="K263" s="23"/>
      <c r="L263" s="23"/>
      <c r="M263" s="23"/>
      <c r="N263" s="23"/>
      <c r="O263" s="23"/>
      <c r="Q263" s="23"/>
      <c r="S263" s="23"/>
    </row>
    <row r="264">
      <c r="B264" s="23"/>
      <c r="C264" s="23"/>
      <c r="E264" s="24"/>
      <c r="G264" s="23"/>
      <c r="H264" s="23"/>
      <c r="I264" s="23"/>
      <c r="J264" s="23"/>
      <c r="K264" s="23"/>
      <c r="L264" s="23"/>
      <c r="M264" s="23"/>
      <c r="N264" s="23"/>
      <c r="O264" s="23"/>
      <c r="Q264" s="23"/>
      <c r="S264" s="23"/>
    </row>
    <row r="265">
      <c r="B265" s="23"/>
      <c r="C265" s="23"/>
      <c r="E265" s="24"/>
      <c r="G265" s="23"/>
      <c r="H265" s="23"/>
      <c r="I265" s="23"/>
      <c r="J265" s="23"/>
      <c r="K265" s="23"/>
      <c r="L265" s="23"/>
      <c r="M265" s="23"/>
      <c r="N265" s="23"/>
      <c r="O265" s="23"/>
      <c r="Q265" s="23"/>
      <c r="S265" s="23"/>
    </row>
    <row r="266">
      <c r="B266" s="23"/>
      <c r="C266" s="23"/>
      <c r="E266" s="24"/>
      <c r="G266" s="23"/>
      <c r="H266" s="23"/>
      <c r="I266" s="23"/>
      <c r="J266" s="23"/>
      <c r="K266" s="23"/>
      <c r="L266" s="23"/>
      <c r="M266" s="23"/>
      <c r="N266" s="23"/>
      <c r="O266" s="23"/>
      <c r="Q266" s="23"/>
      <c r="S266" s="23"/>
    </row>
    <row r="267">
      <c r="B267" s="23"/>
      <c r="C267" s="23"/>
      <c r="E267" s="24"/>
      <c r="G267" s="23"/>
      <c r="H267" s="23"/>
      <c r="I267" s="23"/>
      <c r="J267" s="23"/>
      <c r="K267" s="23"/>
      <c r="L267" s="23"/>
      <c r="M267" s="23"/>
      <c r="N267" s="23"/>
      <c r="O267" s="23"/>
      <c r="Q267" s="23"/>
      <c r="S267" s="23"/>
    </row>
    <row r="268">
      <c r="B268" s="23"/>
      <c r="C268" s="23"/>
      <c r="E268" s="24"/>
      <c r="G268" s="23"/>
      <c r="H268" s="23"/>
      <c r="I268" s="23"/>
      <c r="J268" s="23"/>
      <c r="K268" s="23"/>
      <c r="L268" s="23"/>
      <c r="M268" s="23"/>
      <c r="N268" s="23"/>
      <c r="O268" s="23"/>
      <c r="Q268" s="23"/>
      <c r="S268" s="23"/>
    </row>
    <row r="269">
      <c r="B269" s="23"/>
      <c r="C269" s="23"/>
      <c r="E269" s="24"/>
      <c r="G269" s="23"/>
      <c r="H269" s="23"/>
      <c r="I269" s="23"/>
      <c r="J269" s="23"/>
      <c r="K269" s="23"/>
      <c r="L269" s="23"/>
      <c r="M269" s="23"/>
      <c r="N269" s="23"/>
      <c r="O269" s="23"/>
      <c r="Q269" s="23"/>
      <c r="S269" s="23"/>
    </row>
    <row r="270">
      <c r="B270" s="23"/>
      <c r="C270" s="23"/>
      <c r="E270" s="24"/>
      <c r="G270" s="23"/>
      <c r="H270" s="23"/>
      <c r="I270" s="23"/>
      <c r="J270" s="23"/>
      <c r="K270" s="23"/>
      <c r="L270" s="23"/>
      <c r="M270" s="23"/>
      <c r="N270" s="23"/>
      <c r="O270" s="23"/>
      <c r="Q270" s="23"/>
      <c r="S270" s="23"/>
    </row>
    <row r="271">
      <c r="B271" s="23"/>
      <c r="C271" s="23"/>
      <c r="E271" s="24"/>
      <c r="G271" s="23"/>
      <c r="H271" s="23"/>
      <c r="I271" s="23"/>
      <c r="J271" s="23"/>
      <c r="K271" s="23"/>
      <c r="L271" s="23"/>
      <c r="M271" s="23"/>
      <c r="N271" s="23"/>
      <c r="O271" s="23"/>
      <c r="Q271" s="23"/>
      <c r="S271" s="23"/>
    </row>
    <row r="272">
      <c r="B272" s="23"/>
      <c r="C272" s="23"/>
      <c r="E272" s="24"/>
      <c r="G272" s="23"/>
      <c r="H272" s="23"/>
      <c r="I272" s="23"/>
      <c r="J272" s="23"/>
      <c r="K272" s="23"/>
      <c r="L272" s="23"/>
      <c r="M272" s="23"/>
      <c r="N272" s="23"/>
      <c r="O272" s="23"/>
      <c r="Q272" s="23"/>
      <c r="S272" s="23"/>
    </row>
    <row r="273">
      <c r="B273" s="23"/>
      <c r="C273" s="23"/>
      <c r="E273" s="24"/>
      <c r="G273" s="23"/>
      <c r="H273" s="23"/>
      <c r="I273" s="23"/>
      <c r="J273" s="23"/>
      <c r="K273" s="23"/>
      <c r="L273" s="23"/>
      <c r="M273" s="23"/>
      <c r="N273" s="23"/>
      <c r="O273" s="23"/>
      <c r="Q273" s="23"/>
      <c r="S273" s="23"/>
    </row>
    <row r="274">
      <c r="B274" s="23"/>
      <c r="C274" s="23"/>
      <c r="E274" s="24"/>
      <c r="G274" s="23"/>
      <c r="H274" s="23"/>
      <c r="I274" s="23"/>
      <c r="J274" s="23"/>
      <c r="K274" s="23"/>
      <c r="L274" s="23"/>
      <c r="M274" s="23"/>
      <c r="N274" s="23"/>
      <c r="O274" s="23"/>
      <c r="Q274" s="23"/>
      <c r="S274" s="23"/>
    </row>
    <row r="275">
      <c r="B275" s="23"/>
      <c r="C275" s="23"/>
      <c r="E275" s="24"/>
      <c r="G275" s="23"/>
      <c r="H275" s="23"/>
      <c r="I275" s="23"/>
      <c r="J275" s="23"/>
      <c r="K275" s="23"/>
      <c r="L275" s="23"/>
      <c r="M275" s="23"/>
      <c r="N275" s="23"/>
      <c r="O275" s="23"/>
      <c r="Q275" s="23"/>
      <c r="S275" s="23"/>
    </row>
    <row r="276">
      <c r="B276" s="23"/>
      <c r="C276" s="23"/>
      <c r="E276" s="24"/>
      <c r="G276" s="23"/>
      <c r="H276" s="23"/>
      <c r="I276" s="23"/>
      <c r="J276" s="23"/>
      <c r="K276" s="23"/>
      <c r="L276" s="23"/>
      <c r="M276" s="23"/>
      <c r="N276" s="23"/>
      <c r="O276" s="23"/>
      <c r="Q276" s="23"/>
      <c r="S276" s="23"/>
    </row>
    <row r="277">
      <c r="B277" s="23"/>
      <c r="C277" s="23"/>
      <c r="E277" s="24"/>
      <c r="G277" s="23"/>
      <c r="H277" s="23"/>
      <c r="I277" s="23"/>
      <c r="J277" s="23"/>
      <c r="K277" s="23"/>
      <c r="L277" s="23"/>
      <c r="M277" s="23"/>
      <c r="N277" s="23"/>
      <c r="O277" s="23"/>
      <c r="Q277" s="23"/>
      <c r="S277" s="23"/>
    </row>
    <row r="278">
      <c r="B278" s="23"/>
      <c r="C278" s="23"/>
      <c r="E278" s="24"/>
      <c r="G278" s="23"/>
      <c r="H278" s="23"/>
      <c r="I278" s="23"/>
      <c r="J278" s="23"/>
      <c r="K278" s="23"/>
      <c r="L278" s="23"/>
      <c r="M278" s="23"/>
      <c r="N278" s="23"/>
      <c r="O278" s="23"/>
      <c r="Q278" s="23"/>
      <c r="S278" s="23"/>
    </row>
    <row r="279">
      <c r="B279" s="23"/>
      <c r="C279" s="23"/>
      <c r="E279" s="24"/>
      <c r="G279" s="23"/>
      <c r="H279" s="23"/>
      <c r="I279" s="23"/>
      <c r="J279" s="23"/>
      <c r="K279" s="23"/>
      <c r="L279" s="23"/>
      <c r="M279" s="23"/>
      <c r="N279" s="23"/>
      <c r="O279" s="23"/>
      <c r="Q279" s="23"/>
      <c r="S279" s="23"/>
    </row>
    <row r="280">
      <c r="B280" s="23"/>
      <c r="C280" s="23"/>
      <c r="E280" s="24"/>
      <c r="G280" s="23"/>
      <c r="H280" s="23"/>
      <c r="I280" s="23"/>
      <c r="J280" s="23"/>
      <c r="K280" s="23"/>
      <c r="L280" s="23"/>
      <c r="M280" s="23"/>
      <c r="N280" s="23"/>
      <c r="O280" s="23"/>
      <c r="Q280" s="23"/>
      <c r="S280" s="23"/>
    </row>
    <row r="281">
      <c r="B281" s="23"/>
      <c r="C281" s="23"/>
      <c r="E281" s="24"/>
      <c r="G281" s="23"/>
      <c r="H281" s="23"/>
      <c r="I281" s="23"/>
      <c r="J281" s="23"/>
      <c r="K281" s="23"/>
      <c r="L281" s="23"/>
      <c r="M281" s="23"/>
      <c r="N281" s="23"/>
      <c r="O281" s="23"/>
      <c r="Q281" s="23"/>
      <c r="S281" s="23"/>
    </row>
    <row r="282">
      <c r="B282" s="23"/>
      <c r="C282" s="23"/>
      <c r="E282" s="24"/>
      <c r="G282" s="23"/>
      <c r="H282" s="23"/>
      <c r="I282" s="23"/>
      <c r="J282" s="23"/>
      <c r="K282" s="23"/>
      <c r="L282" s="23"/>
      <c r="M282" s="23"/>
      <c r="N282" s="23"/>
      <c r="O282" s="23"/>
      <c r="Q282" s="23"/>
      <c r="S282" s="23"/>
    </row>
    <row r="283">
      <c r="B283" s="23"/>
      <c r="C283" s="23"/>
      <c r="E283" s="24"/>
      <c r="G283" s="23"/>
      <c r="H283" s="23"/>
      <c r="I283" s="23"/>
      <c r="J283" s="23"/>
      <c r="K283" s="23"/>
      <c r="L283" s="23"/>
      <c r="M283" s="23"/>
      <c r="N283" s="23"/>
      <c r="O283" s="23"/>
      <c r="Q283" s="23"/>
      <c r="S283" s="23"/>
    </row>
    <row r="284">
      <c r="B284" s="23"/>
      <c r="C284" s="23"/>
      <c r="E284" s="24"/>
      <c r="G284" s="23"/>
      <c r="H284" s="23"/>
      <c r="I284" s="23"/>
      <c r="J284" s="23"/>
      <c r="K284" s="23"/>
      <c r="L284" s="23"/>
      <c r="M284" s="23"/>
      <c r="N284" s="23"/>
      <c r="O284" s="23"/>
      <c r="Q284" s="23"/>
      <c r="S284" s="23"/>
    </row>
    <row r="285">
      <c r="B285" s="23"/>
      <c r="C285" s="23"/>
      <c r="E285" s="24"/>
      <c r="G285" s="23"/>
      <c r="H285" s="23"/>
      <c r="I285" s="23"/>
      <c r="J285" s="23"/>
      <c r="K285" s="23"/>
      <c r="L285" s="23"/>
      <c r="M285" s="23"/>
      <c r="N285" s="23"/>
      <c r="O285" s="23"/>
      <c r="Q285" s="23"/>
      <c r="S285" s="23"/>
    </row>
    <row r="286">
      <c r="B286" s="23"/>
      <c r="C286" s="23"/>
      <c r="E286" s="24"/>
      <c r="G286" s="23"/>
      <c r="H286" s="23"/>
      <c r="I286" s="23"/>
      <c r="J286" s="23"/>
      <c r="K286" s="23"/>
      <c r="L286" s="23"/>
      <c r="M286" s="23"/>
      <c r="N286" s="23"/>
      <c r="O286" s="23"/>
      <c r="Q286" s="23"/>
      <c r="S286" s="23"/>
    </row>
    <row r="287">
      <c r="B287" s="23"/>
      <c r="C287" s="23"/>
      <c r="E287" s="24"/>
      <c r="G287" s="23"/>
      <c r="H287" s="23"/>
      <c r="I287" s="23"/>
      <c r="J287" s="23"/>
      <c r="K287" s="23"/>
      <c r="L287" s="23"/>
      <c r="M287" s="23"/>
      <c r="N287" s="23"/>
      <c r="O287" s="23"/>
      <c r="Q287" s="23"/>
      <c r="S287" s="23"/>
    </row>
    <row r="288">
      <c r="B288" s="23"/>
      <c r="C288" s="23"/>
      <c r="E288" s="24"/>
      <c r="G288" s="23"/>
      <c r="H288" s="23"/>
      <c r="I288" s="23"/>
      <c r="J288" s="23"/>
      <c r="K288" s="23"/>
      <c r="L288" s="23"/>
      <c r="M288" s="23"/>
      <c r="N288" s="23"/>
      <c r="O288" s="23"/>
      <c r="Q288" s="23"/>
      <c r="S288" s="23"/>
    </row>
    <row r="289">
      <c r="B289" s="23"/>
      <c r="C289" s="23"/>
      <c r="E289" s="24"/>
      <c r="G289" s="23"/>
      <c r="H289" s="23"/>
      <c r="I289" s="23"/>
      <c r="J289" s="23"/>
      <c r="K289" s="23"/>
      <c r="L289" s="23"/>
      <c r="M289" s="23"/>
      <c r="N289" s="23"/>
      <c r="O289" s="23"/>
      <c r="Q289" s="23"/>
      <c r="S289" s="23"/>
    </row>
    <row r="290">
      <c r="B290" s="23"/>
      <c r="C290" s="23"/>
      <c r="E290" s="24"/>
      <c r="G290" s="23"/>
      <c r="H290" s="23"/>
      <c r="I290" s="23"/>
      <c r="J290" s="23"/>
      <c r="K290" s="23"/>
      <c r="L290" s="23"/>
      <c r="M290" s="23"/>
      <c r="N290" s="23"/>
      <c r="O290" s="23"/>
      <c r="Q290" s="23"/>
      <c r="S290" s="23"/>
    </row>
    <row r="291">
      <c r="B291" s="23"/>
      <c r="C291" s="23"/>
      <c r="E291" s="24"/>
      <c r="G291" s="23"/>
      <c r="H291" s="23"/>
      <c r="I291" s="23"/>
      <c r="J291" s="23"/>
      <c r="K291" s="23"/>
      <c r="L291" s="23"/>
      <c r="M291" s="23"/>
      <c r="N291" s="23"/>
      <c r="O291" s="23"/>
      <c r="Q291" s="23"/>
      <c r="S291" s="23"/>
    </row>
    <row r="292">
      <c r="B292" s="23"/>
      <c r="C292" s="23"/>
      <c r="E292" s="24"/>
      <c r="G292" s="23"/>
      <c r="H292" s="23"/>
      <c r="I292" s="23"/>
      <c r="J292" s="23"/>
      <c r="K292" s="23"/>
      <c r="L292" s="23"/>
      <c r="M292" s="23"/>
      <c r="N292" s="23"/>
      <c r="O292" s="23"/>
      <c r="Q292" s="23"/>
      <c r="S292" s="23"/>
    </row>
    <row r="293">
      <c r="B293" s="23"/>
      <c r="C293" s="23"/>
      <c r="E293" s="24"/>
      <c r="G293" s="23"/>
      <c r="H293" s="23"/>
      <c r="I293" s="23"/>
      <c r="J293" s="23"/>
      <c r="K293" s="23"/>
      <c r="L293" s="23"/>
      <c r="M293" s="23"/>
      <c r="N293" s="23"/>
      <c r="O293" s="23"/>
      <c r="Q293" s="23"/>
      <c r="S293" s="23"/>
    </row>
    <row r="294">
      <c r="B294" s="23"/>
      <c r="C294" s="23"/>
      <c r="E294" s="24"/>
      <c r="G294" s="23"/>
      <c r="H294" s="23"/>
      <c r="I294" s="23"/>
      <c r="J294" s="23"/>
      <c r="K294" s="23"/>
      <c r="L294" s="23"/>
      <c r="M294" s="23"/>
      <c r="N294" s="23"/>
      <c r="O294" s="23"/>
      <c r="Q294" s="23"/>
      <c r="S294" s="23"/>
    </row>
    <row r="295">
      <c r="B295" s="23"/>
      <c r="C295" s="23"/>
      <c r="E295" s="24"/>
      <c r="G295" s="23"/>
      <c r="H295" s="23"/>
      <c r="I295" s="23"/>
      <c r="J295" s="23"/>
      <c r="K295" s="23"/>
      <c r="L295" s="23"/>
      <c r="M295" s="23"/>
      <c r="N295" s="23"/>
      <c r="O295" s="23"/>
      <c r="Q295" s="23"/>
      <c r="S295" s="23"/>
    </row>
    <row r="296">
      <c r="B296" s="23"/>
      <c r="C296" s="23"/>
      <c r="E296" s="24"/>
      <c r="G296" s="23"/>
      <c r="H296" s="23"/>
      <c r="I296" s="23"/>
      <c r="J296" s="23"/>
      <c r="K296" s="23"/>
      <c r="L296" s="23"/>
      <c r="M296" s="23"/>
      <c r="N296" s="23"/>
      <c r="O296" s="23"/>
      <c r="Q296" s="23"/>
      <c r="S296" s="23"/>
    </row>
    <row r="297">
      <c r="B297" s="23"/>
      <c r="C297" s="23"/>
      <c r="E297" s="24"/>
      <c r="G297" s="23"/>
      <c r="H297" s="23"/>
      <c r="I297" s="23"/>
      <c r="J297" s="23"/>
      <c r="K297" s="23"/>
      <c r="L297" s="23"/>
      <c r="M297" s="23"/>
      <c r="N297" s="23"/>
      <c r="O297" s="23"/>
      <c r="Q297" s="23"/>
      <c r="S297" s="23"/>
    </row>
    <row r="298">
      <c r="B298" s="23"/>
      <c r="C298" s="23"/>
      <c r="E298" s="24"/>
      <c r="G298" s="23"/>
      <c r="H298" s="23"/>
      <c r="I298" s="23"/>
      <c r="J298" s="23"/>
      <c r="K298" s="23"/>
      <c r="L298" s="23"/>
      <c r="M298" s="23"/>
      <c r="N298" s="23"/>
      <c r="O298" s="23"/>
      <c r="Q298" s="23"/>
      <c r="S298" s="23"/>
    </row>
    <row r="299">
      <c r="B299" s="23"/>
      <c r="C299" s="23"/>
      <c r="E299" s="24"/>
      <c r="G299" s="23"/>
      <c r="H299" s="23"/>
      <c r="I299" s="23"/>
      <c r="J299" s="23"/>
      <c r="K299" s="23"/>
      <c r="L299" s="23"/>
      <c r="M299" s="23"/>
      <c r="N299" s="23"/>
      <c r="O299" s="23"/>
      <c r="Q299" s="23"/>
      <c r="S299" s="23"/>
    </row>
    <row r="300">
      <c r="B300" s="23"/>
      <c r="C300" s="23"/>
      <c r="E300" s="24"/>
      <c r="G300" s="23"/>
      <c r="H300" s="23"/>
      <c r="I300" s="23"/>
      <c r="J300" s="23"/>
      <c r="K300" s="23"/>
      <c r="L300" s="23"/>
      <c r="M300" s="23"/>
      <c r="N300" s="23"/>
      <c r="O300" s="23"/>
      <c r="Q300" s="23"/>
      <c r="S300" s="23"/>
    </row>
    <row r="301">
      <c r="B301" s="23"/>
      <c r="C301" s="23"/>
      <c r="E301" s="24"/>
      <c r="G301" s="23"/>
      <c r="H301" s="23"/>
      <c r="I301" s="23"/>
      <c r="J301" s="23"/>
      <c r="K301" s="23"/>
      <c r="L301" s="23"/>
      <c r="M301" s="23"/>
      <c r="N301" s="23"/>
      <c r="O301" s="23"/>
      <c r="Q301" s="23"/>
      <c r="S301" s="23"/>
    </row>
    <row r="302">
      <c r="B302" s="23"/>
      <c r="C302" s="23"/>
      <c r="E302" s="24"/>
      <c r="G302" s="23"/>
      <c r="H302" s="23"/>
      <c r="I302" s="23"/>
      <c r="J302" s="23"/>
      <c r="K302" s="23"/>
      <c r="L302" s="23"/>
      <c r="M302" s="23"/>
      <c r="N302" s="23"/>
      <c r="O302" s="23"/>
      <c r="Q302" s="23"/>
      <c r="S302" s="23"/>
    </row>
    <row r="303">
      <c r="B303" s="23"/>
      <c r="C303" s="23"/>
      <c r="E303" s="24"/>
      <c r="G303" s="23"/>
      <c r="H303" s="23"/>
      <c r="I303" s="23"/>
      <c r="J303" s="23"/>
      <c r="K303" s="23"/>
      <c r="L303" s="23"/>
      <c r="M303" s="23"/>
      <c r="N303" s="23"/>
      <c r="O303" s="23"/>
      <c r="Q303" s="23"/>
      <c r="S303" s="23"/>
    </row>
    <row r="304">
      <c r="B304" s="23"/>
      <c r="C304" s="23"/>
      <c r="E304" s="24"/>
      <c r="G304" s="23"/>
      <c r="H304" s="23"/>
      <c r="I304" s="23"/>
      <c r="J304" s="23"/>
      <c r="K304" s="23"/>
      <c r="L304" s="23"/>
      <c r="M304" s="23"/>
      <c r="N304" s="23"/>
      <c r="O304" s="23"/>
      <c r="Q304" s="23"/>
      <c r="S304" s="23"/>
    </row>
    <row r="305">
      <c r="B305" s="23"/>
      <c r="C305" s="23"/>
      <c r="E305" s="24"/>
      <c r="G305" s="23"/>
      <c r="H305" s="23"/>
      <c r="I305" s="23"/>
      <c r="J305" s="23"/>
      <c r="K305" s="23"/>
      <c r="L305" s="23"/>
      <c r="M305" s="23"/>
      <c r="N305" s="23"/>
      <c r="O305" s="23"/>
      <c r="Q305" s="23"/>
      <c r="S305" s="23"/>
    </row>
    <row r="306">
      <c r="B306" s="23"/>
      <c r="C306" s="23"/>
      <c r="E306" s="24"/>
      <c r="G306" s="23"/>
      <c r="H306" s="23"/>
      <c r="I306" s="23"/>
      <c r="J306" s="23"/>
      <c r="K306" s="23"/>
      <c r="L306" s="23"/>
      <c r="M306" s="23"/>
      <c r="N306" s="23"/>
      <c r="O306" s="23"/>
      <c r="Q306" s="23"/>
      <c r="S306" s="23"/>
    </row>
    <row r="307">
      <c r="B307" s="23"/>
      <c r="C307" s="23"/>
      <c r="E307" s="24"/>
      <c r="G307" s="23"/>
      <c r="H307" s="23"/>
      <c r="I307" s="23"/>
      <c r="J307" s="23"/>
      <c r="K307" s="23"/>
      <c r="L307" s="23"/>
      <c r="M307" s="23"/>
      <c r="N307" s="23"/>
      <c r="O307" s="23"/>
      <c r="Q307" s="23"/>
      <c r="S307" s="23"/>
    </row>
    <row r="308">
      <c r="B308" s="23"/>
      <c r="C308" s="23"/>
      <c r="E308" s="24"/>
      <c r="G308" s="23"/>
      <c r="H308" s="23"/>
      <c r="I308" s="23"/>
      <c r="J308" s="23"/>
      <c r="K308" s="23"/>
      <c r="L308" s="23"/>
      <c r="M308" s="23"/>
      <c r="N308" s="23"/>
      <c r="O308" s="23"/>
      <c r="Q308" s="23"/>
      <c r="S308" s="23"/>
    </row>
    <row r="309">
      <c r="B309" s="23"/>
      <c r="C309" s="23"/>
      <c r="E309" s="24"/>
      <c r="G309" s="23"/>
      <c r="H309" s="23"/>
      <c r="I309" s="23"/>
      <c r="J309" s="23"/>
      <c r="K309" s="23"/>
      <c r="L309" s="23"/>
      <c r="M309" s="23"/>
      <c r="N309" s="23"/>
      <c r="O309" s="23"/>
      <c r="Q309" s="23"/>
      <c r="S309" s="23"/>
    </row>
    <row r="310">
      <c r="B310" s="23"/>
      <c r="C310" s="23"/>
      <c r="E310" s="24"/>
      <c r="G310" s="23"/>
      <c r="H310" s="23"/>
      <c r="I310" s="23"/>
      <c r="J310" s="23"/>
      <c r="K310" s="23"/>
      <c r="L310" s="23"/>
      <c r="M310" s="23"/>
      <c r="N310" s="23"/>
      <c r="O310" s="23"/>
      <c r="Q310" s="23"/>
      <c r="S310" s="23"/>
    </row>
    <row r="311">
      <c r="B311" s="23"/>
      <c r="C311" s="23"/>
      <c r="E311" s="24"/>
      <c r="G311" s="23"/>
      <c r="H311" s="23"/>
      <c r="I311" s="23"/>
      <c r="J311" s="23"/>
      <c r="K311" s="23"/>
      <c r="L311" s="23"/>
      <c r="M311" s="23"/>
      <c r="N311" s="23"/>
      <c r="O311" s="23"/>
      <c r="Q311" s="23"/>
      <c r="S311" s="23"/>
    </row>
    <row r="312">
      <c r="B312" s="23"/>
      <c r="C312" s="23"/>
      <c r="E312" s="24"/>
      <c r="G312" s="23"/>
      <c r="H312" s="23"/>
      <c r="I312" s="23"/>
      <c r="J312" s="23"/>
      <c r="K312" s="23"/>
      <c r="L312" s="23"/>
      <c r="M312" s="23"/>
      <c r="N312" s="23"/>
      <c r="O312" s="23"/>
      <c r="Q312" s="23"/>
      <c r="S312" s="23"/>
    </row>
    <row r="313">
      <c r="B313" s="23"/>
      <c r="C313" s="23"/>
      <c r="E313" s="24"/>
      <c r="G313" s="23"/>
      <c r="H313" s="23"/>
      <c r="I313" s="23"/>
      <c r="J313" s="23"/>
      <c r="K313" s="23"/>
      <c r="L313" s="23"/>
      <c r="M313" s="23"/>
      <c r="N313" s="23"/>
      <c r="O313" s="23"/>
      <c r="Q313" s="23"/>
      <c r="S313" s="23"/>
    </row>
    <row r="314">
      <c r="B314" s="23"/>
      <c r="C314" s="23"/>
      <c r="E314" s="24"/>
      <c r="G314" s="23"/>
      <c r="H314" s="23"/>
      <c r="I314" s="23"/>
      <c r="J314" s="23"/>
      <c r="K314" s="23"/>
      <c r="L314" s="23"/>
      <c r="M314" s="23"/>
      <c r="N314" s="23"/>
      <c r="O314" s="23"/>
      <c r="Q314" s="23"/>
      <c r="S314" s="23"/>
    </row>
    <row r="315">
      <c r="B315" s="23"/>
      <c r="C315" s="23"/>
      <c r="E315" s="24"/>
      <c r="G315" s="23"/>
      <c r="H315" s="23"/>
      <c r="I315" s="23"/>
      <c r="J315" s="23"/>
      <c r="K315" s="23"/>
      <c r="L315" s="23"/>
      <c r="M315" s="23"/>
      <c r="N315" s="23"/>
      <c r="O315" s="23"/>
      <c r="Q315" s="23"/>
      <c r="S315" s="23"/>
    </row>
    <row r="316">
      <c r="B316" s="23"/>
      <c r="C316" s="23"/>
      <c r="E316" s="24"/>
      <c r="G316" s="23"/>
      <c r="H316" s="23"/>
      <c r="I316" s="23"/>
      <c r="J316" s="23"/>
      <c r="K316" s="23"/>
      <c r="L316" s="23"/>
      <c r="M316" s="23"/>
      <c r="N316" s="23"/>
      <c r="O316" s="23"/>
      <c r="Q316" s="23"/>
      <c r="S316" s="23"/>
    </row>
    <row r="317">
      <c r="B317" s="23"/>
      <c r="C317" s="23"/>
      <c r="E317" s="24"/>
      <c r="G317" s="23"/>
      <c r="H317" s="23"/>
      <c r="I317" s="23"/>
      <c r="J317" s="23"/>
      <c r="K317" s="23"/>
      <c r="L317" s="23"/>
      <c r="M317" s="23"/>
      <c r="N317" s="23"/>
      <c r="O317" s="23"/>
      <c r="Q317" s="23"/>
      <c r="S317" s="23"/>
    </row>
    <row r="318">
      <c r="B318" s="23"/>
      <c r="C318" s="23"/>
      <c r="E318" s="24"/>
      <c r="G318" s="23"/>
      <c r="H318" s="23"/>
      <c r="I318" s="23"/>
      <c r="J318" s="23"/>
      <c r="K318" s="23"/>
      <c r="L318" s="23"/>
      <c r="M318" s="23"/>
      <c r="N318" s="23"/>
      <c r="O318" s="23"/>
      <c r="Q318" s="23"/>
      <c r="S318" s="23"/>
    </row>
    <row r="319">
      <c r="B319" s="23"/>
      <c r="C319" s="23"/>
      <c r="E319" s="24"/>
      <c r="G319" s="23"/>
      <c r="H319" s="23"/>
      <c r="I319" s="23"/>
      <c r="J319" s="23"/>
      <c r="K319" s="23"/>
      <c r="L319" s="23"/>
      <c r="M319" s="23"/>
      <c r="N319" s="23"/>
      <c r="O319" s="23"/>
      <c r="Q319" s="23"/>
      <c r="S319" s="23"/>
    </row>
    <row r="320">
      <c r="B320" s="23"/>
      <c r="C320" s="23"/>
      <c r="E320" s="24"/>
      <c r="G320" s="23"/>
      <c r="H320" s="23"/>
      <c r="I320" s="23"/>
      <c r="J320" s="23"/>
      <c r="K320" s="23"/>
      <c r="L320" s="23"/>
      <c r="M320" s="23"/>
      <c r="N320" s="23"/>
      <c r="O320" s="23"/>
      <c r="Q320" s="23"/>
      <c r="S320" s="23"/>
    </row>
    <row r="321">
      <c r="B321" s="23"/>
      <c r="C321" s="23"/>
      <c r="E321" s="24"/>
      <c r="G321" s="23"/>
      <c r="H321" s="23"/>
      <c r="I321" s="23"/>
      <c r="J321" s="23"/>
      <c r="K321" s="23"/>
      <c r="L321" s="23"/>
      <c r="M321" s="23"/>
      <c r="N321" s="23"/>
      <c r="O321" s="23"/>
      <c r="Q321" s="23"/>
      <c r="S321" s="23"/>
    </row>
    <row r="322">
      <c r="B322" s="23"/>
      <c r="C322" s="23"/>
      <c r="E322" s="24"/>
      <c r="G322" s="23"/>
      <c r="H322" s="23"/>
      <c r="I322" s="23"/>
      <c r="J322" s="23"/>
      <c r="K322" s="23"/>
      <c r="L322" s="23"/>
      <c r="M322" s="23"/>
      <c r="N322" s="23"/>
      <c r="O322" s="23"/>
      <c r="Q322" s="23"/>
      <c r="S322" s="23"/>
    </row>
    <row r="323">
      <c r="B323" s="23"/>
      <c r="C323" s="23"/>
      <c r="E323" s="24"/>
      <c r="G323" s="23"/>
      <c r="H323" s="23"/>
      <c r="I323" s="23"/>
      <c r="J323" s="23"/>
      <c r="K323" s="23"/>
      <c r="L323" s="23"/>
      <c r="M323" s="23"/>
      <c r="N323" s="23"/>
      <c r="O323" s="23"/>
      <c r="Q323" s="23"/>
      <c r="S323" s="23"/>
    </row>
    <row r="324">
      <c r="B324" s="23"/>
      <c r="C324" s="23"/>
      <c r="E324" s="24"/>
      <c r="G324" s="23"/>
      <c r="H324" s="23"/>
      <c r="I324" s="23"/>
      <c r="J324" s="23"/>
      <c r="K324" s="23"/>
      <c r="L324" s="23"/>
      <c r="M324" s="23"/>
      <c r="N324" s="23"/>
      <c r="O324" s="23"/>
      <c r="Q324" s="23"/>
      <c r="S324" s="23"/>
    </row>
    <row r="325">
      <c r="B325" s="23"/>
      <c r="C325" s="23"/>
      <c r="E325" s="24"/>
      <c r="G325" s="23"/>
      <c r="H325" s="23"/>
      <c r="I325" s="23"/>
      <c r="J325" s="23"/>
      <c r="K325" s="23"/>
      <c r="L325" s="23"/>
      <c r="M325" s="23"/>
      <c r="N325" s="23"/>
      <c r="O325" s="23"/>
      <c r="Q325" s="23"/>
      <c r="S325" s="23"/>
    </row>
    <row r="326">
      <c r="B326" s="23"/>
      <c r="C326" s="23"/>
      <c r="E326" s="24"/>
      <c r="G326" s="23"/>
      <c r="H326" s="23"/>
      <c r="I326" s="23"/>
      <c r="J326" s="23"/>
      <c r="K326" s="23"/>
      <c r="L326" s="23"/>
      <c r="M326" s="23"/>
      <c r="N326" s="23"/>
      <c r="O326" s="23"/>
      <c r="Q326" s="23"/>
      <c r="S326" s="23"/>
    </row>
    <row r="327">
      <c r="B327" s="23"/>
      <c r="C327" s="23"/>
      <c r="E327" s="24"/>
      <c r="G327" s="23"/>
      <c r="H327" s="23"/>
      <c r="I327" s="23"/>
      <c r="J327" s="23"/>
      <c r="K327" s="23"/>
      <c r="L327" s="23"/>
      <c r="M327" s="23"/>
      <c r="N327" s="23"/>
      <c r="O327" s="23"/>
      <c r="Q327" s="23"/>
      <c r="S327" s="23"/>
    </row>
    <row r="328">
      <c r="B328" s="23"/>
      <c r="C328" s="23"/>
      <c r="E328" s="24"/>
      <c r="G328" s="23"/>
      <c r="H328" s="23"/>
      <c r="I328" s="23"/>
      <c r="J328" s="23"/>
      <c r="K328" s="23"/>
      <c r="L328" s="23"/>
      <c r="M328" s="23"/>
      <c r="N328" s="23"/>
      <c r="O328" s="23"/>
      <c r="Q328" s="23"/>
      <c r="S328" s="23"/>
    </row>
    <row r="329">
      <c r="B329" s="23"/>
      <c r="C329" s="23"/>
      <c r="E329" s="24"/>
      <c r="G329" s="23"/>
      <c r="H329" s="23"/>
      <c r="I329" s="23"/>
      <c r="J329" s="23"/>
      <c r="K329" s="23"/>
      <c r="L329" s="23"/>
      <c r="M329" s="23"/>
      <c r="N329" s="23"/>
      <c r="O329" s="23"/>
      <c r="Q329" s="23"/>
      <c r="S329" s="23"/>
    </row>
    <row r="330">
      <c r="B330" s="23"/>
      <c r="C330" s="23"/>
      <c r="E330" s="24"/>
      <c r="G330" s="23"/>
      <c r="H330" s="23"/>
      <c r="I330" s="23"/>
      <c r="J330" s="23"/>
      <c r="K330" s="23"/>
      <c r="L330" s="23"/>
      <c r="M330" s="23"/>
      <c r="N330" s="23"/>
      <c r="O330" s="23"/>
      <c r="Q330" s="23"/>
      <c r="S330" s="23"/>
    </row>
    <row r="331">
      <c r="B331" s="23"/>
      <c r="C331" s="23"/>
      <c r="E331" s="24"/>
      <c r="G331" s="23"/>
      <c r="H331" s="23"/>
      <c r="I331" s="23"/>
      <c r="J331" s="23"/>
      <c r="K331" s="23"/>
      <c r="L331" s="23"/>
      <c r="M331" s="23"/>
      <c r="N331" s="23"/>
      <c r="O331" s="23"/>
      <c r="Q331" s="23"/>
      <c r="S331" s="23"/>
    </row>
    <row r="332">
      <c r="B332" s="23"/>
      <c r="C332" s="23"/>
      <c r="E332" s="24"/>
      <c r="G332" s="23"/>
      <c r="H332" s="23"/>
      <c r="I332" s="23"/>
      <c r="J332" s="23"/>
      <c r="K332" s="23"/>
      <c r="L332" s="23"/>
      <c r="M332" s="23"/>
      <c r="N332" s="23"/>
      <c r="O332" s="23"/>
      <c r="Q332" s="23"/>
      <c r="S332" s="23"/>
    </row>
    <row r="333">
      <c r="B333" s="23"/>
      <c r="C333" s="23"/>
      <c r="E333" s="24"/>
      <c r="G333" s="23"/>
      <c r="H333" s="23"/>
      <c r="I333" s="23"/>
      <c r="J333" s="23"/>
      <c r="K333" s="23"/>
      <c r="L333" s="23"/>
      <c r="M333" s="23"/>
      <c r="N333" s="23"/>
      <c r="O333" s="23"/>
      <c r="Q333" s="23"/>
      <c r="S333" s="23"/>
    </row>
    <row r="334">
      <c r="B334" s="23"/>
      <c r="C334" s="23"/>
      <c r="E334" s="24"/>
      <c r="G334" s="23"/>
      <c r="H334" s="23"/>
      <c r="I334" s="23"/>
      <c r="J334" s="23"/>
      <c r="K334" s="23"/>
      <c r="L334" s="23"/>
      <c r="M334" s="23"/>
      <c r="N334" s="23"/>
      <c r="O334" s="23"/>
      <c r="Q334" s="23"/>
      <c r="S334" s="23"/>
    </row>
    <row r="335">
      <c r="B335" s="23"/>
      <c r="C335" s="23"/>
      <c r="E335" s="24"/>
      <c r="G335" s="23"/>
      <c r="H335" s="23"/>
      <c r="I335" s="23"/>
      <c r="J335" s="23"/>
      <c r="K335" s="23"/>
      <c r="L335" s="23"/>
      <c r="M335" s="23"/>
      <c r="N335" s="23"/>
      <c r="O335" s="23"/>
      <c r="Q335" s="23"/>
      <c r="S335" s="23"/>
    </row>
    <row r="336">
      <c r="B336" s="23"/>
      <c r="C336" s="23"/>
      <c r="E336" s="24"/>
      <c r="G336" s="23"/>
      <c r="H336" s="23"/>
      <c r="I336" s="23"/>
      <c r="J336" s="23"/>
      <c r="K336" s="23"/>
      <c r="L336" s="23"/>
      <c r="M336" s="23"/>
      <c r="N336" s="23"/>
      <c r="O336" s="23"/>
      <c r="Q336" s="23"/>
      <c r="S336" s="23"/>
    </row>
    <row r="337">
      <c r="B337" s="23"/>
      <c r="C337" s="23"/>
      <c r="E337" s="24"/>
      <c r="G337" s="23"/>
      <c r="H337" s="23"/>
      <c r="I337" s="23"/>
      <c r="J337" s="23"/>
      <c r="K337" s="23"/>
      <c r="L337" s="23"/>
      <c r="M337" s="23"/>
      <c r="N337" s="23"/>
      <c r="O337" s="23"/>
      <c r="Q337" s="23"/>
      <c r="S337" s="23"/>
    </row>
    <row r="338">
      <c r="B338" s="23"/>
      <c r="C338" s="23"/>
      <c r="E338" s="24"/>
      <c r="G338" s="23"/>
      <c r="H338" s="23"/>
      <c r="I338" s="23"/>
      <c r="J338" s="23"/>
      <c r="K338" s="23"/>
      <c r="L338" s="23"/>
      <c r="M338" s="23"/>
      <c r="N338" s="23"/>
      <c r="O338" s="23"/>
      <c r="Q338" s="23"/>
      <c r="S338" s="23"/>
    </row>
    <row r="339">
      <c r="B339" s="23"/>
      <c r="C339" s="23"/>
      <c r="E339" s="24"/>
      <c r="G339" s="23"/>
      <c r="H339" s="23"/>
      <c r="I339" s="23"/>
      <c r="J339" s="23"/>
      <c r="K339" s="23"/>
      <c r="L339" s="23"/>
      <c r="M339" s="23"/>
      <c r="N339" s="23"/>
      <c r="O339" s="23"/>
      <c r="Q339" s="23"/>
      <c r="S339" s="23"/>
    </row>
    <row r="340">
      <c r="B340" s="23"/>
      <c r="C340" s="23"/>
      <c r="E340" s="24"/>
      <c r="G340" s="23"/>
      <c r="H340" s="23"/>
      <c r="I340" s="23"/>
      <c r="J340" s="23"/>
      <c r="K340" s="23"/>
      <c r="L340" s="23"/>
      <c r="M340" s="23"/>
      <c r="N340" s="23"/>
      <c r="O340" s="23"/>
      <c r="Q340" s="23"/>
      <c r="S340" s="23"/>
    </row>
    <row r="341">
      <c r="B341" s="23"/>
      <c r="C341" s="23"/>
      <c r="E341" s="24"/>
      <c r="G341" s="23"/>
      <c r="H341" s="23"/>
      <c r="I341" s="23"/>
      <c r="J341" s="23"/>
      <c r="K341" s="23"/>
      <c r="L341" s="23"/>
      <c r="M341" s="23"/>
      <c r="N341" s="23"/>
      <c r="O341" s="23"/>
      <c r="Q341" s="23"/>
      <c r="S341" s="23"/>
    </row>
    <row r="342">
      <c r="B342" s="23"/>
      <c r="C342" s="23"/>
      <c r="E342" s="24"/>
      <c r="G342" s="23"/>
      <c r="H342" s="23"/>
      <c r="I342" s="23"/>
      <c r="J342" s="23"/>
      <c r="K342" s="23"/>
      <c r="L342" s="23"/>
      <c r="M342" s="23"/>
      <c r="N342" s="23"/>
      <c r="O342" s="23"/>
      <c r="Q342" s="23"/>
      <c r="S342" s="23"/>
    </row>
    <row r="343">
      <c r="B343" s="23"/>
      <c r="C343" s="23"/>
      <c r="E343" s="24"/>
      <c r="G343" s="23"/>
      <c r="H343" s="23"/>
      <c r="I343" s="23"/>
      <c r="J343" s="23"/>
      <c r="K343" s="23"/>
      <c r="L343" s="23"/>
      <c r="M343" s="23"/>
      <c r="N343" s="23"/>
      <c r="O343" s="23"/>
      <c r="Q343" s="23"/>
      <c r="S343" s="23"/>
    </row>
    <row r="344">
      <c r="B344" s="23"/>
      <c r="C344" s="23"/>
      <c r="E344" s="24"/>
      <c r="G344" s="23"/>
      <c r="H344" s="23"/>
      <c r="I344" s="23"/>
      <c r="J344" s="23"/>
      <c r="K344" s="23"/>
      <c r="L344" s="23"/>
      <c r="M344" s="23"/>
      <c r="N344" s="23"/>
      <c r="O344" s="23"/>
      <c r="Q344" s="23"/>
      <c r="S344" s="23"/>
    </row>
    <row r="345">
      <c r="B345" s="23"/>
      <c r="C345" s="23"/>
      <c r="E345" s="24"/>
      <c r="G345" s="23"/>
      <c r="H345" s="23"/>
      <c r="I345" s="23"/>
      <c r="J345" s="23"/>
      <c r="K345" s="23"/>
      <c r="L345" s="23"/>
      <c r="M345" s="23"/>
      <c r="N345" s="23"/>
      <c r="O345" s="23"/>
      <c r="Q345" s="23"/>
      <c r="S345" s="23"/>
    </row>
    <row r="346">
      <c r="B346" s="23"/>
      <c r="C346" s="23"/>
      <c r="E346" s="24"/>
      <c r="G346" s="23"/>
      <c r="H346" s="23"/>
      <c r="I346" s="23"/>
      <c r="J346" s="23"/>
      <c r="K346" s="23"/>
      <c r="L346" s="23"/>
      <c r="M346" s="23"/>
      <c r="N346" s="23"/>
      <c r="O346" s="23"/>
      <c r="Q346" s="23"/>
      <c r="S346" s="23"/>
    </row>
    <row r="347">
      <c r="B347" s="23"/>
      <c r="C347" s="23"/>
      <c r="E347" s="24"/>
      <c r="G347" s="23"/>
      <c r="H347" s="23"/>
      <c r="I347" s="23"/>
      <c r="J347" s="23"/>
      <c r="K347" s="23"/>
      <c r="L347" s="23"/>
      <c r="M347" s="23"/>
      <c r="N347" s="23"/>
      <c r="O347" s="23"/>
      <c r="Q347" s="23"/>
      <c r="S347" s="23"/>
    </row>
    <row r="348">
      <c r="B348" s="23"/>
      <c r="C348" s="23"/>
      <c r="E348" s="24"/>
      <c r="G348" s="23"/>
      <c r="H348" s="23"/>
      <c r="I348" s="23"/>
      <c r="J348" s="23"/>
      <c r="K348" s="23"/>
      <c r="L348" s="23"/>
      <c r="M348" s="23"/>
      <c r="N348" s="23"/>
      <c r="O348" s="23"/>
      <c r="Q348" s="23"/>
      <c r="S348" s="23"/>
    </row>
    <row r="349">
      <c r="B349" s="23"/>
      <c r="C349" s="23"/>
      <c r="E349" s="24"/>
      <c r="G349" s="23"/>
      <c r="H349" s="23"/>
      <c r="I349" s="23"/>
      <c r="J349" s="23"/>
      <c r="K349" s="23"/>
      <c r="L349" s="23"/>
      <c r="M349" s="23"/>
      <c r="N349" s="23"/>
      <c r="O349" s="23"/>
      <c r="Q349" s="23"/>
      <c r="S349" s="23"/>
    </row>
    <row r="350">
      <c r="B350" s="23"/>
      <c r="C350" s="23"/>
      <c r="E350" s="24"/>
      <c r="G350" s="23"/>
      <c r="H350" s="23"/>
      <c r="I350" s="23"/>
      <c r="J350" s="23"/>
      <c r="K350" s="23"/>
      <c r="L350" s="23"/>
      <c r="M350" s="23"/>
      <c r="N350" s="23"/>
      <c r="O350" s="23"/>
      <c r="Q350" s="23"/>
      <c r="S350" s="23"/>
    </row>
    <row r="351">
      <c r="B351" s="23"/>
      <c r="C351" s="23"/>
      <c r="E351" s="24"/>
      <c r="G351" s="23"/>
      <c r="H351" s="23"/>
      <c r="I351" s="23"/>
      <c r="J351" s="23"/>
      <c r="K351" s="23"/>
      <c r="L351" s="23"/>
      <c r="M351" s="23"/>
      <c r="N351" s="23"/>
      <c r="O351" s="23"/>
      <c r="Q351" s="23"/>
      <c r="S351" s="23"/>
    </row>
    <row r="352">
      <c r="B352" s="23"/>
      <c r="C352" s="23"/>
      <c r="E352" s="24"/>
      <c r="G352" s="23"/>
      <c r="H352" s="23"/>
      <c r="I352" s="23"/>
      <c r="J352" s="23"/>
      <c r="K352" s="23"/>
      <c r="L352" s="23"/>
      <c r="M352" s="23"/>
      <c r="N352" s="23"/>
      <c r="O352" s="23"/>
      <c r="Q352" s="23"/>
      <c r="S352" s="23"/>
    </row>
    <row r="353">
      <c r="B353" s="23"/>
      <c r="C353" s="23"/>
      <c r="E353" s="24"/>
      <c r="G353" s="23"/>
      <c r="H353" s="23"/>
      <c r="I353" s="23"/>
      <c r="J353" s="23"/>
      <c r="K353" s="23"/>
      <c r="L353" s="23"/>
      <c r="M353" s="23"/>
      <c r="N353" s="23"/>
      <c r="O353" s="23"/>
      <c r="Q353" s="23"/>
      <c r="S353" s="23"/>
    </row>
    <row r="354">
      <c r="B354" s="23"/>
      <c r="C354" s="23"/>
      <c r="E354" s="24"/>
      <c r="G354" s="23"/>
      <c r="H354" s="23"/>
      <c r="I354" s="23"/>
      <c r="J354" s="23"/>
      <c r="K354" s="23"/>
      <c r="L354" s="23"/>
      <c r="M354" s="23"/>
      <c r="N354" s="23"/>
      <c r="O354" s="23"/>
      <c r="Q354" s="23"/>
      <c r="S354" s="23"/>
    </row>
    <row r="355">
      <c r="B355" s="23"/>
      <c r="C355" s="23"/>
      <c r="E355" s="24"/>
      <c r="G355" s="23"/>
      <c r="H355" s="23"/>
      <c r="I355" s="23"/>
      <c r="J355" s="23"/>
      <c r="K355" s="23"/>
      <c r="L355" s="23"/>
      <c r="M355" s="23"/>
      <c r="N355" s="23"/>
      <c r="O355" s="23"/>
      <c r="Q355" s="23"/>
      <c r="S355" s="23"/>
    </row>
    <row r="356">
      <c r="B356" s="23"/>
      <c r="C356" s="23"/>
      <c r="E356" s="24"/>
      <c r="G356" s="23"/>
      <c r="H356" s="23"/>
      <c r="I356" s="23"/>
      <c r="J356" s="23"/>
      <c r="K356" s="23"/>
      <c r="L356" s="23"/>
      <c r="M356" s="23"/>
      <c r="N356" s="23"/>
      <c r="O356" s="23"/>
      <c r="Q356" s="23"/>
      <c r="S356" s="23"/>
    </row>
    <row r="357">
      <c r="B357" s="23"/>
      <c r="C357" s="23"/>
      <c r="E357" s="24"/>
      <c r="G357" s="23"/>
      <c r="H357" s="23"/>
      <c r="I357" s="23"/>
      <c r="J357" s="23"/>
      <c r="K357" s="23"/>
      <c r="L357" s="23"/>
      <c r="M357" s="23"/>
      <c r="N357" s="23"/>
      <c r="O357" s="23"/>
      <c r="Q357" s="23"/>
      <c r="S357" s="23"/>
    </row>
    <row r="358">
      <c r="B358" s="23"/>
      <c r="C358" s="23"/>
      <c r="E358" s="24"/>
      <c r="G358" s="23"/>
      <c r="H358" s="23"/>
      <c r="I358" s="23"/>
      <c r="J358" s="23"/>
      <c r="K358" s="23"/>
      <c r="L358" s="23"/>
      <c r="M358" s="23"/>
      <c r="N358" s="23"/>
      <c r="O358" s="23"/>
      <c r="Q358" s="23"/>
      <c r="S358" s="23"/>
    </row>
    <row r="359">
      <c r="B359" s="23"/>
      <c r="C359" s="23"/>
      <c r="E359" s="24"/>
      <c r="G359" s="23"/>
      <c r="H359" s="23"/>
      <c r="I359" s="23"/>
      <c r="J359" s="23"/>
      <c r="K359" s="23"/>
      <c r="L359" s="23"/>
      <c r="M359" s="23"/>
      <c r="N359" s="23"/>
      <c r="O359" s="23"/>
      <c r="Q359" s="23"/>
      <c r="S359" s="23"/>
    </row>
    <row r="360">
      <c r="B360" s="23"/>
      <c r="C360" s="23"/>
      <c r="E360" s="24"/>
      <c r="G360" s="23"/>
      <c r="H360" s="23"/>
      <c r="I360" s="23"/>
      <c r="J360" s="23"/>
      <c r="K360" s="23"/>
      <c r="L360" s="23"/>
      <c r="M360" s="23"/>
      <c r="N360" s="23"/>
      <c r="O360" s="23"/>
      <c r="Q360" s="23"/>
      <c r="S360" s="23"/>
    </row>
    <row r="361">
      <c r="B361" s="23"/>
      <c r="C361" s="23"/>
      <c r="E361" s="24"/>
      <c r="G361" s="23"/>
      <c r="H361" s="23"/>
      <c r="I361" s="23"/>
      <c r="J361" s="23"/>
      <c r="K361" s="23"/>
      <c r="L361" s="23"/>
      <c r="M361" s="23"/>
      <c r="N361" s="23"/>
      <c r="O361" s="23"/>
      <c r="Q361" s="23"/>
      <c r="S361" s="23"/>
    </row>
    <row r="362">
      <c r="B362" s="23"/>
      <c r="C362" s="23"/>
      <c r="E362" s="24"/>
      <c r="G362" s="23"/>
      <c r="H362" s="23"/>
      <c r="I362" s="23"/>
      <c r="J362" s="23"/>
      <c r="K362" s="23"/>
      <c r="L362" s="23"/>
      <c r="M362" s="23"/>
      <c r="N362" s="23"/>
      <c r="O362" s="23"/>
      <c r="Q362" s="23"/>
      <c r="S362" s="23"/>
    </row>
    <row r="363">
      <c r="B363" s="23"/>
      <c r="C363" s="23"/>
      <c r="E363" s="24"/>
      <c r="G363" s="23"/>
      <c r="H363" s="23"/>
      <c r="I363" s="23"/>
      <c r="J363" s="23"/>
      <c r="K363" s="23"/>
      <c r="L363" s="23"/>
      <c r="M363" s="23"/>
      <c r="N363" s="23"/>
      <c r="O363" s="23"/>
      <c r="Q363" s="23"/>
      <c r="S363" s="23"/>
    </row>
    <row r="364">
      <c r="B364" s="23"/>
      <c r="C364" s="23"/>
      <c r="E364" s="24"/>
      <c r="G364" s="23"/>
      <c r="H364" s="23"/>
      <c r="I364" s="23"/>
      <c r="J364" s="23"/>
      <c r="K364" s="23"/>
      <c r="L364" s="23"/>
      <c r="M364" s="23"/>
      <c r="N364" s="23"/>
      <c r="O364" s="23"/>
      <c r="Q364" s="23"/>
      <c r="S364" s="23"/>
    </row>
    <row r="365">
      <c r="B365" s="23"/>
      <c r="C365" s="23"/>
      <c r="E365" s="24"/>
      <c r="G365" s="23"/>
      <c r="H365" s="23"/>
      <c r="I365" s="23"/>
      <c r="J365" s="23"/>
      <c r="K365" s="23"/>
      <c r="L365" s="23"/>
      <c r="M365" s="23"/>
      <c r="N365" s="23"/>
      <c r="O365" s="23"/>
      <c r="Q365" s="23"/>
      <c r="S365" s="23"/>
    </row>
    <row r="366">
      <c r="B366" s="23"/>
      <c r="C366" s="23"/>
      <c r="E366" s="24"/>
      <c r="G366" s="23"/>
      <c r="H366" s="23"/>
      <c r="I366" s="23"/>
      <c r="J366" s="23"/>
      <c r="K366" s="23"/>
      <c r="L366" s="23"/>
      <c r="M366" s="23"/>
      <c r="N366" s="23"/>
      <c r="O366" s="23"/>
      <c r="Q366" s="23"/>
      <c r="S366" s="23"/>
    </row>
    <row r="367">
      <c r="B367" s="23"/>
      <c r="C367" s="23"/>
      <c r="E367" s="24"/>
      <c r="G367" s="23"/>
      <c r="H367" s="23"/>
      <c r="I367" s="23"/>
      <c r="J367" s="23"/>
      <c r="K367" s="23"/>
      <c r="L367" s="23"/>
      <c r="M367" s="23"/>
      <c r="N367" s="23"/>
      <c r="O367" s="23"/>
      <c r="Q367" s="23"/>
      <c r="S367" s="23"/>
    </row>
    <row r="368">
      <c r="B368" s="23"/>
      <c r="C368" s="23"/>
      <c r="E368" s="24"/>
      <c r="G368" s="23"/>
      <c r="H368" s="23"/>
      <c r="I368" s="23"/>
      <c r="J368" s="23"/>
      <c r="K368" s="23"/>
      <c r="L368" s="23"/>
      <c r="M368" s="23"/>
      <c r="N368" s="23"/>
      <c r="O368" s="23"/>
      <c r="Q368" s="23"/>
      <c r="S368" s="23"/>
    </row>
    <row r="369">
      <c r="B369" s="23"/>
      <c r="C369" s="23"/>
      <c r="E369" s="24"/>
      <c r="G369" s="23"/>
      <c r="H369" s="23"/>
      <c r="I369" s="23"/>
      <c r="J369" s="23"/>
      <c r="K369" s="23"/>
      <c r="L369" s="23"/>
      <c r="M369" s="23"/>
      <c r="N369" s="23"/>
      <c r="O369" s="23"/>
      <c r="Q369" s="23"/>
      <c r="S369" s="23"/>
    </row>
    <row r="370">
      <c r="B370" s="23"/>
      <c r="C370" s="23"/>
      <c r="E370" s="24"/>
      <c r="G370" s="23"/>
      <c r="H370" s="23"/>
      <c r="I370" s="23"/>
      <c r="J370" s="23"/>
      <c r="K370" s="23"/>
      <c r="L370" s="23"/>
      <c r="M370" s="23"/>
      <c r="N370" s="23"/>
      <c r="O370" s="23"/>
      <c r="Q370" s="23"/>
      <c r="S370" s="23"/>
    </row>
    <row r="371">
      <c r="B371" s="23"/>
      <c r="C371" s="23"/>
      <c r="E371" s="24"/>
      <c r="G371" s="23"/>
      <c r="H371" s="23"/>
      <c r="I371" s="23"/>
      <c r="J371" s="23"/>
      <c r="K371" s="23"/>
      <c r="L371" s="23"/>
      <c r="M371" s="23"/>
      <c r="N371" s="23"/>
      <c r="O371" s="23"/>
      <c r="Q371" s="23"/>
      <c r="S371" s="23"/>
    </row>
    <row r="372">
      <c r="B372" s="23"/>
      <c r="C372" s="23"/>
      <c r="E372" s="24"/>
      <c r="G372" s="23"/>
      <c r="H372" s="23"/>
      <c r="I372" s="23"/>
      <c r="J372" s="23"/>
      <c r="K372" s="23"/>
      <c r="L372" s="23"/>
      <c r="M372" s="23"/>
      <c r="N372" s="23"/>
      <c r="O372" s="23"/>
      <c r="Q372" s="23"/>
      <c r="S372" s="23"/>
    </row>
    <row r="373">
      <c r="B373" s="23"/>
      <c r="C373" s="23"/>
      <c r="E373" s="24"/>
      <c r="G373" s="23"/>
      <c r="H373" s="23"/>
      <c r="I373" s="23"/>
      <c r="J373" s="23"/>
      <c r="K373" s="23"/>
      <c r="L373" s="23"/>
      <c r="M373" s="23"/>
      <c r="N373" s="23"/>
      <c r="O373" s="23"/>
      <c r="Q373" s="23"/>
      <c r="S373" s="23"/>
    </row>
    <row r="374">
      <c r="B374" s="23"/>
      <c r="C374" s="23"/>
      <c r="E374" s="24"/>
      <c r="G374" s="23"/>
      <c r="H374" s="23"/>
      <c r="I374" s="23"/>
      <c r="J374" s="23"/>
      <c r="K374" s="23"/>
      <c r="L374" s="23"/>
      <c r="M374" s="23"/>
      <c r="N374" s="23"/>
      <c r="O374" s="23"/>
      <c r="Q374" s="23"/>
      <c r="S374" s="23"/>
    </row>
    <row r="375">
      <c r="B375" s="23"/>
      <c r="C375" s="23"/>
      <c r="E375" s="24"/>
      <c r="G375" s="23"/>
      <c r="H375" s="23"/>
      <c r="I375" s="23"/>
      <c r="J375" s="23"/>
      <c r="K375" s="23"/>
      <c r="L375" s="23"/>
      <c r="M375" s="23"/>
      <c r="N375" s="23"/>
      <c r="O375" s="23"/>
      <c r="Q375" s="23"/>
      <c r="S375" s="23"/>
    </row>
    <row r="376">
      <c r="B376" s="23"/>
      <c r="C376" s="23"/>
      <c r="E376" s="24"/>
      <c r="G376" s="23"/>
      <c r="H376" s="23"/>
      <c r="I376" s="23"/>
      <c r="J376" s="23"/>
      <c r="K376" s="23"/>
      <c r="L376" s="23"/>
      <c r="M376" s="23"/>
      <c r="N376" s="23"/>
      <c r="O376" s="23"/>
      <c r="Q376" s="23"/>
      <c r="S376" s="23"/>
    </row>
    <row r="377">
      <c r="B377" s="23"/>
      <c r="C377" s="23"/>
      <c r="E377" s="24"/>
      <c r="G377" s="23"/>
      <c r="H377" s="23"/>
      <c r="I377" s="23"/>
      <c r="J377" s="23"/>
      <c r="K377" s="23"/>
      <c r="L377" s="23"/>
      <c r="M377" s="23"/>
      <c r="N377" s="23"/>
      <c r="O377" s="23"/>
      <c r="Q377" s="23"/>
      <c r="S377" s="23"/>
    </row>
    <row r="378">
      <c r="B378" s="23"/>
      <c r="C378" s="23"/>
      <c r="E378" s="24"/>
      <c r="G378" s="23"/>
      <c r="H378" s="23"/>
      <c r="I378" s="23"/>
      <c r="J378" s="23"/>
      <c r="K378" s="23"/>
      <c r="L378" s="23"/>
      <c r="M378" s="23"/>
      <c r="N378" s="23"/>
      <c r="O378" s="23"/>
      <c r="Q378" s="23"/>
      <c r="S378" s="23"/>
    </row>
    <row r="379">
      <c r="B379" s="23"/>
      <c r="C379" s="23"/>
      <c r="E379" s="24"/>
      <c r="G379" s="23"/>
      <c r="H379" s="23"/>
      <c r="I379" s="23"/>
      <c r="J379" s="23"/>
      <c r="K379" s="23"/>
      <c r="L379" s="23"/>
      <c r="M379" s="23"/>
      <c r="N379" s="23"/>
      <c r="O379" s="23"/>
      <c r="Q379" s="23"/>
      <c r="S379" s="23"/>
    </row>
    <row r="380">
      <c r="B380" s="23"/>
      <c r="C380" s="23"/>
      <c r="E380" s="24"/>
      <c r="G380" s="23"/>
      <c r="H380" s="23"/>
      <c r="I380" s="23"/>
      <c r="J380" s="23"/>
      <c r="K380" s="23"/>
      <c r="L380" s="23"/>
      <c r="M380" s="23"/>
      <c r="N380" s="23"/>
      <c r="O380" s="23"/>
      <c r="Q380" s="23"/>
      <c r="S380" s="23"/>
    </row>
    <row r="381">
      <c r="B381" s="23"/>
      <c r="C381" s="23"/>
      <c r="E381" s="24"/>
      <c r="G381" s="23"/>
      <c r="H381" s="23"/>
      <c r="I381" s="23"/>
      <c r="J381" s="23"/>
      <c r="K381" s="23"/>
      <c r="L381" s="23"/>
      <c r="M381" s="23"/>
      <c r="N381" s="23"/>
      <c r="O381" s="23"/>
      <c r="Q381" s="23"/>
      <c r="S381" s="23"/>
    </row>
    <row r="382">
      <c r="B382" s="23"/>
      <c r="C382" s="23"/>
      <c r="E382" s="24"/>
      <c r="G382" s="23"/>
      <c r="H382" s="23"/>
      <c r="I382" s="23"/>
      <c r="J382" s="23"/>
      <c r="K382" s="23"/>
      <c r="L382" s="23"/>
      <c r="M382" s="23"/>
      <c r="N382" s="23"/>
      <c r="O382" s="23"/>
      <c r="Q382" s="23"/>
      <c r="S382" s="23"/>
    </row>
    <row r="383">
      <c r="B383" s="23"/>
      <c r="C383" s="23"/>
      <c r="E383" s="24"/>
      <c r="G383" s="23"/>
      <c r="H383" s="23"/>
      <c r="I383" s="23"/>
      <c r="J383" s="23"/>
      <c r="K383" s="23"/>
      <c r="L383" s="23"/>
      <c r="M383" s="23"/>
      <c r="N383" s="23"/>
      <c r="O383" s="23"/>
      <c r="Q383" s="23"/>
      <c r="S383" s="23"/>
    </row>
    <row r="384">
      <c r="B384" s="23"/>
      <c r="C384" s="23"/>
      <c r="E384" s="24"/>
      <c r="G384" s="23"/>
      <c r="H384" s="23"/>
      <c r="I384" s="23"/>
      <c r="J384" s="23"/>
      <c r="K384" s="23"/>
      <c r="L384" s="23"/>
      <c r="M384" s="23"/>
      <c r="N384" s="23"/>
      <c r="O384" s="23"/>
      <c r="Q384" s="23"/>
      <c r="S384" s="23"/>
    </row>
    <row r="385">
      <c r="B385" s="23"/>
      <c r="C385" s="23"/>
      <c r="E385" s="24"/>
      <c r="G385" s="23"/>
      <c r="H385" s="23"/>
      <c r="I385" s="23"/>
      <c r="J385" s="23"/>
      <c r="K385" s="23"/>
      <c r="L385" s="23"/>
      <c r="M385" s="23"/>
      <c r="N385" s="23"/>
      <c r="O385" s="23"/>
      <c r="Q385" s="23"/>
      <c r="S385" s="23"/>
    </row>
    <row r="386">
      <c r="B386" s="23"/>
      <c r="C386" s="23"/>
      <c r="E386" s="24"/>
      <c r="G386" s="23"/>
      <c r="H386" s="23"/>
      <c r="I386" s="23"/>
      <c r="J386" s="23"/>
      <c r="K386" s="23"/>
      <c r="L386" s="23"/>
      <c r="M386" s="23"/>
      <c r="N386" s="23"/>
      <c r="O386" s="23"/>
      <c r="Q386" s="23"/>
      <c r="S386" s="23"/>
    </row>
    <row r="387">
      <c r="B387" s="23"/>
      <c r="C387" s="23"/>
      <c r="E387" s="24"/>
      <c r="G387" s="23"/>
      <c r="H387" s="23"/>
      <c r="I387" s="23"/>
      <c r="J387" s="23"/>
      <c r="K387" s="23"/>
      <c r="L387" s="23"/>
      <c r="M387" s="23"/>
      <c r="N387" s="23"/>
      <c r="O387" s="23"/>
      <c r="Q387" s="23"/>
      <c r="S387" s="23"/>
    </row>
    <row r="388">
      <c r="B388" s="23"/>
      <c r="C388" s="23"/>
      <c r="E388" s="24"/>
      <c r="G388" s="23"/>
      <c r="H388" s="23"/>
      <c r="I388" s="23"/>
      <c r="J388" s="23"/>
      <c r="K388" s="23"/>
      <c r="L388" s="23"/>
      <c r="M388" s="23"/>
      <c r="N388" s="23"/>
      <c r="O388" s="23"/>
      <c r="Q388" s="23"/>
      <c r="S388" s="23"/>
    </row>
    <row r="389">
      <c r="B389" s="23"/>
      <c r="C389" s="23"/>
      <c r="E389" s="24"/>
      <c r="G389" s="23"/>
      <c r="H389" s="23"/>
      <c r="I389" s="23"/>
      <c r="J389" s="23"/>
      <c r="K389" s="23"/>
      <c r="L389" s="23"/>
      <c r="M389" s="23"/>
      <c r="N389" s="23"/>
      <c r="O389" s="23"/>
      <c r="Q389" s="23"/>
      <c r="S389" s="23"/>
    </row>
    <row r="390">
      <c r="B390" s="23"/>
      <c r="C390" s="23"/>
      <c r="E390" s="24"/>
      <c r="G390" s="23"/>
      <c r="H390" s="23"/>
      <c r="I390" s="23"/>
      <c r="J390" s="23"/>
      <c r="K390" s="23"/>
      <c r="L390" s="23"/>
      <c r="M390" s="23"/>
      <c r="N390" s="23"/>
      <c r="O390" s="23"/>
      <c r="Q390" s="23"/>
      <c r="S390" s="23"/>
    </row>
    <row r="391">
      <c r="B391" s="23"/>
      <c r="C391" s="23"/>
      <c r="E391" s="24"/>
      <c r="G391" s="23"/>
      <c r="H391" s="23"/>
      <c r="I391" s="23"/>
      <c r="J391" s="23"/>
      <c r="K391" s="23"/>
      <c r="L391" s="23"/>
      <c r="M391" s="23"/>
      <c r="N391" s="23"/>
      <c r="O391" s="23"/>
      <c r="Q391" s="23"/>
      <c r="S391" s="23"/>
    </row>
    <row r="392">
      <c r="B392" s="23"/>
      <c r="C392" s="23"/>
      <c r="E392" s="24"/>
      <c r="G392" s="23"/>
      <c r="H392" s="23"/>
      <c r="I392" s="23"/>
      <c r="J392" s="23"/>
      <c r="K392" s="23"/>
      <c r="L392" s="23"/>
      <c r="M392" s="23"/>
      <c r="N392" s="23"/>
      <c r="O392" s="23"/>
      <c r="Q392" s="23"/>
      <c r="S392" s="23"/>
    </row>
    <row r="393">
      <c r="B393" s="23"/>
      <c r="C393" s="23"/>
      <c r="E393" s="24"/>
      <c r="G393" s="23"/>
      <c r="H393" s="23"/>
      <c r="I393" s="23"/>
      <c r="J393" s="23"/>
      <c r="K393" s="23"/>
      <c r="L393" s="23"/>
      <c r="M393" s="23"/>
      <c r="N393" s="23"/>
      <c r="O393" s="23"/>
      <c r="Q393" s="23"/>
      <c r="S393" s="23"/>
    </row>
    <row r="394">
      <c r="B394" s="23"/>
      <c r="C394" s="23"/>
      <c r="E394" s="24"/>
      <c r="G394" s="23"/>
      <c r="H394" s="23"/>
      <c r="I394" s="23"/>
      <c r="J394" s="23"/>
      <c r="K394" s="23"/>
      <c r="L394" s="23"/>
      <c r="M394" s="23"/>
      <c r="N394" s="23"/>
      <c r="O394" s="23"/>
      <c r="Q394" s="23"/>
      <c r="S394" s="23"/>
    </row>
    <row r="395">
      <c r="B395" s="23"/>
      <c r="C395" s="23"/>
      <c r="E395" s="24"/>
      <c r="G395" s="23"/>
      <c r="H395" s="23"/>
      <c r="I395" s="23"/>
      <c r="J395" s="23"/>
      <c r="K395" s="23"/>
      <c r="L395" s="23"/>
      <c r="M395" s="23"/>
      <c r="N395" s="23"/>
      <c r="O395" s="23"/>
      <c r="Q395" s="23"/>
      <c r="S395" s="23"/>
    </row>
    <row r="396">
      <c r="B396" s="23"/>
      <c r="C396" s="23"/>
      <c r="E396" s="24"/>
      <c r="G396" s="23"/>
      <c r="H396" s="23"/>
      <c r="I396" s="23"/>
      <c r="J396" s="23"/>
      <c r="K396" s="23"/>
      <c r="L396" s="23"/>
      <c r="M396" s="23"/>
      <c r="N396" s="23"/>
      <c r="O396" s="23"/>
      <c r="Q396" s="23"/>
      <c r="S396" s="23"/>
    </row>
    <row r="397">
      <c r="B397" s="23"/>
      <c r="C397" s="23"/>
      <c r="E397" s="24"/>
      <c r="G397" s="23"/>
      <c r="H397" s="23"/>
      <c r="I397" s="23"/>
      <c r="J397" s="23"/>
      <c r="K397" s="23"/>
      <c r="L397" s="23"/>
      <c r="M397" s="23"/>
      <c r="N397" s="23"/>
      <c r="O397" s="23"/>
      <c r="Q397" s="23"/>
      <c r="S397" s="23"/>
    </row>
    <row r="398">
      <c r="B398" s="23"/>
      <c r="C398" s="23"/>
      <c r="E398" s="24"/>
      <c r="G398" s="23"/>
      <c r="H398" s="23"/>
      <c r="I398" s="23"/>
      <c r="J398" s="23"/>
      <c r="K398" s="23"/>
      <c r="L398" s="23"/>
      <c r="M398" s="23"/>
      <c r="N398" s="23"/>
      <c r="O398" s="23"/>
      <c r="Q398" s="23"/>
      <c r="S398" s="23"/>
    </row>
    <row r="399">
      <c r="B399" s="23"/>
      <c r="C399" s="23"/>
      <c r="E399" s="24"/>
      <c r="G399" s="23"/>
      <c r="H399" s="23"/>
      <c r="I399" s="23"/>
      <c r="J399" s="23"/>
      <c r="K399" s="23"/>
      <c r="L399" s="23"/>
      <c r="M399" s="23"/>
      <c r="N399" s="23"/>
      <c r="O399" s="23"/>
      <c r="Q399" s="23"/>
      <c r="S399" s="23"/>
    </row>
    <row r="400">
      <c r="B400" s="23"/>
      <c r="C400" s="23"/>
      <c r="E400" s="24"/>
      <c r="G400" s="23"/>
      <c r="H400" s="23"/>
      <c r="I400" s="23"/>
      <c r="J400" s="23"/>
      <c r="K400" s="23"/>
      <c r="L400" s="23"/>
      <c r="M400" s="23"/>
      <c r="N400" s="23"/>
      <c r="O400" s="23"/>
      <c r="Q400" s="23"/>
      <c r="S400" s="23"/>
    </row>
    <row r="401">
      <c r="B401" s="23"/>
      <c r="C401" s="23"/>
      <c r="E401" s="24"/>
      <c r="G401" s="23"/>
      <c r="H401" s="23"/>
      <c r="I401" s="23"/>
      <c r="J401" s="23"/>
      <c r="K401" s="23"/>
      <c r="L401" s="23"/>
      <c r="M401" s="23"/>
      <c r="N401" s="23"/>
      <c r="O401" s="23"/>
      <c r="Q401" s="23"/>
      <c r="S401" s="23"/>
    </row>
    <row r="402">
      <c r="B402" s="23"/>
      <c r="C402" s="23"/>
      <c r="E402" s="24"/>
      <c r="G402" s="23"/>
      <c r="H402" s="23"/>
      <c r="I402" s="23"/>
      <c r="J402" s="23"/>
      <c r="K402" s="23"/>
      <c r="L402" s="23"/>
      <c r="M402" s="23"/>
      <c r="N402" s="23"/>
      <c r="O402" s="23"/>
      <c r="Q402" s="23"/>
      <c r="S402" s="23"/>
    </row>
    <row r="403">
      <c r="B403" s="23"/>
      <c r="C403" s="23"/>
      <c r="E403" s="24"/>
      <c r="G403" s="23"/>
      <c r="H403" s="23"/>
      <c r="I403" s="23"/>
      <c r="J403" s="23"/>
      <c r="K403" s="23"/>
      <c r="L403" s="23"/>
      <c r="M403" s="23"/>
      <c r="N403" s="23"/>
      <c r="O403" s="23"/>
      <c r="Q403" s="23"/>
      <c r="S403" s="23"/>
    </row>
    <row r="404">
      <c r="B404" s="23"/>
      <c r="C404" s="23"/>
      <c r="E404" s="24"/>
      <c r="G404" s="23"/>
      <c r="H404" s="23"/>
      <c r="I404" s="23"/>
      <c r="J404" s="23"/>
      <c r="K404" s="23"/>
      <c r="L404" s="23"/>
      <c r="M404" s="23"/>
      <c r="N404" s="23"/>
      <c r="O404" s="23"/>
      <c r="Q404" s="23"/>
      <c r="S404" s="23"/>
    </row>
    <row r="405">
      <c r="B405" s="23"/>
      <c r="C405" s="23"/>
      <c r="E405" s="24"/>
      <c r="G405" s="23"/>
      <c r="H405" s="23"/>
      <c r="I405" s="23"/>
      <c r="J405" s="23"/>
      <c r="K405" s="23"/>
      <c r="L405" s="23"/>
      <c r="M405" s="23"/>
      <c r="N405" s="23"/>
      <c r="O405" s="23"/>
      <c r="Q405" s="23"/>
      <c r="S405" s="23"/>
    </row>
    <row r="406">
      <c r="B406" s="23"/>
      <c r="C406" s="23"/>
      <c r="E406" s="24"/>
      <c r="G406" s="23"/>
      <c r="H406" s="23"/>
      <c r="I406" s="23"/>
      <c r="J406" s="23"/>
      <c r="K406" s="23"/>
      <c r="L406" s="23"/>
      <c r="M406" s="23"/>
      <c r="N406" s="23"/>
      <c r="O406" s="23"/>
      <c r="Q406" s="23"/>
      <c r="S406" s="23"/>
    </row>
    <row r="407">
      <c r="B407" s="23"/>
      <c r="C407" s="23"/>
      <c r="E407" s="24"/>
      <c r="G407" s="23"/>
      <c r="H407" s="23"/>
      <c r="I407" s="23"/>
      <c r="J407" s="23"/>
      <c r="K407" s="23"/>
      <c r="L407" s="23"/>
      <c r="M407" s="23"/>
      <c r="N407" s="23"/>
      <c r="O407" s="23"/>
      <c r="Q407" s="23"/>
      <c r="S407" s="23"/>
    </row>
    <row r="408">
      <c r="B408" s="23"/>
      <c r="C408" s="23"/>
      <c r="E408" s="24"/>
      <c r="G408" s="23"/>
      <c r="H408" s="23"/>
      <c r="I408" s="23"/>
      <c r="J408" s="23"/>
      <c r="K408" s="23"/>
      <c r="L408" s="23"/>
      <c r="M408" s="23"/>
      <c r="N408" s="23"/>
      <c r="O408" s="23"/>
      <c r="Q408" s="23"/>
      <c r="S408" s="23"/>
    </row>
    <row r="409">
      <c r="B409" s="23"/>
      <c r="C409" s="23"/>
      <c r="E409" s="24"/>
      <c r="G409" s="23"/>
      <c r="H409" s="23"/>
      <c r="I409" s="23"/>
      <c r="J409" s="23"/>
      <c r="K409" s="23"/>
      <c r="L409" s="23"/>
      <c r="M409" s="23"/>
      <c r="N409" s="23"/>
      <c r="O409" s="23"/>
      <c r="Q409" s="23"/>
      <c r="S409" s="23"/>
    </row>
    <row r="410">
      <c r="B410" s="23"/>
      <c r="C410" s="23"/>
      <c r="E410" s="24"/>
      <c r="G410" s="23"/>
      <c r="H410" s="23"/>
      <c r="I410" s="23"/>
      <c r="J410" s="23"/>
      <c r="K410" s="23"/>
      <c r="L410" s="23"/>
      <c r="M410" s="23"/>
      <c r="N410" s="23"/>
      <c r="O410" s="23"/>
      <c r="Q410" s="23"/>
      <c r="S410" s="23"/>
    </row>
    <row r="411">
      <c r="B411" s="23"/>
      <c r="C411" s="23"/>
      <c r="E411" s="24"/>
      <c r="G411" s="23"/>
      <c r="H411" s="23"/>
      <c r="I411" s="23"/>
      <c r="J411" s="23"/>
      <c r="K411" s="23"/>
      <c r="L411" s="23"/>
      <c r="M411" s="23"/>
      <c r="N411" s="23"/>
      <c r="O411" s="23"/>
      <c r="Q411" s="23"/>
      <c r="S411" s="23"/>
    </row>
    <row r="412">
      <c r="B412" s="23"/>
      <c r="C412" s="23"/>
      <c r="E412" s="24"/>
      <c r="G412" s="23"/>
      <c r="H412" s="23"/>
      <c r="I412" s="23"/>
      <c r="J412" s="23"/>
      <c r="K412" s="23"/>
      <c r="L412" s="23"/>
      <c r="M412" s="23"/>
      <c r="N412" s="23"/>
      <c r="O412" s="23"/>
      <c r="Q412" s="23"/>
      <c r="S412" s="23"/>
    </row>
    <row r="413">
      <c r="B413" s="23"/>
      <c r="C413" s="23"/>
      <c r="E413" s="24"/>
      <c r="G413" s="23"/>
      <c r="H413" s="23"/>
      <c r="I413" s="23"/>
      <c r="J413" s="23"/>
      <c r="K413" s="23"/>
      <c r="L413" s="23"/>
      <c r="M413" s="23"/>
      <c r="N413" s="23"/>
      <c r="O413" s="23"/>
      <c r="Q413" s="23"/>
      <c r="S413" s="23"/>
    </row>
    <row r="414">
      <c r="B414" s="23"/>
      <c r="C414" s="23"/>
      <c r="E414" s="24"/>
      <c r="G414" s="23"/>
      <c r="H414" s="23"/>
      <c r="I414" s="23"/>
      <c r="J414" s="23"/>
      <c r="K414" s="23"/>
      <c r="L414" s="23"/>
      <c r="M414" s="23"/>
      <c r="N414" s="23"/>
      <c r="O414" s="23"/>
      <c r="Q414" s="23"/>
      <c r="S414" s="23"/>
    </row>
    <row r="415">
      <c r="B415" s="23"/>
      <c r="C415" s="23"/>
      <c r="E415" s="24"/>
      <c r="G415" s="23"/>
      <c r="H415" s="23"/>
      <c r="I415" s="23"/>
      <c r="J415" s="23"/>
      <c r="K415" s="23"/>
      <c r="L415" s="23"/>
      <c r="M415" s="23"/>
      <c r="N415" s="23"/>
      <c r="O415" s="23"/>
      <c r="Q415" s="23"/>
      <c r="S415" s="23"/>
    </row>
    <row r="416">
      <c r="B416" s="23"/>
      <c r="C416" s="23"/>
      <c r="E416" s="24"/>
      <c r="G416" s="23"/>
      <c r="H416" s="23"/>
      <c r="I416" s="23"/>
      <c r="J416" s="23"/>
      <c r="K416" s="23"/>
      <c r="L416" s="23"/>
      <c r="M416" s="23"/>
      <c r="N416" s="23"/>
      <c r="O416" s="23"/>
      <c r="Q416" s="23"/>
      <c r="S416" s="23"/>
    </row>
    <row r="417">
      <c r="B417" s="23"/>
      <c r="C417" s="23"/>
      <c r="E417" s="24"/>
      <c r="G417" s="23"/>
      <c r="H417" s="23"/>
      <c r="I417" s="23"/>
      <c r="J417" s="23"/>
      <c r="K417" s="23"/>
      <c r="L417" s="23"/>
      <c r="M417" s="23"/>
      <c r="N417" s="23"/>
      <c r="O417" s="23"/>
      <c r="Q417" s="23"/>
      <c r="S417" s="23"/>
    </row>
    <row r="418">
      <c r="B418" s="23"/>
      <c r="C418" s="23"/>
      <c r="E418" s="24"/>
      <c r="G418" s="23"/>
      <c r="H418" s="23"/>
      <c r="I418" s="23"/>
      <c r="J418" s="23"/>
      <c r="K418" s="23"/>
      <c r="L418" s="23"/>
      <c r="M418" s="23"/>
      <c r="N418" s="23"/>
      <c r="O418" s="23"/>
      <c r="Q418" s="23"/>
      <c r="S418" s="23"/>
    </row>
    <row r="419">
      <c r="B419" s="23"/>
      <c r="C419" s="23"/>
      <c r="E419" s="24"/>
      <c r="G419" s="23"/>
      <c r="H419" s="23"/>
      <c r="I419" s="23"/>
      <c r="J419" s="23"/>
      <c r="K419" s="23"/>
      <c r="L419" s="23"/>
      <c r="M419" s="23"/>
      <c r="N419" s="23"/>
      <c r="O419" s="23"/>
      <c r="Q419" s="23"/>
      <c r="S419" s="23"/>
    </row>
    <row r="420">
      <c r="B420" s="23"/>
      <c r="C420" s="23"/>
      <c r="E420" s="24"/>
      <c r="G420" s="23"/>
      <c r="H420" s="23"/>
      <c r="I420" s="23"/>
      <c r="J420" s="23"/>
      <c r="K420" s="23"/>
      <c r="L420" s="23"/>
      <c r="M420" s="23"/>
      <c r="N420" s="23"/>
      <c r="O420" s="23"/>
      <c r="Q420" s="23"/>
      <c r="S420" s="23"/>
    </row>
    <row r="421">
      <c r="B421" s="23"/>
      <c r="C421" s="23"/>
      <c r="E421" s="24"/>
      <c r="G421" s="23"/>
      <c r="H421" s="23"/>
      <c r="I421" s="23"/>
      <c r="J421" s="23"/>
      <c r="K421" s="23"/>
      <c r="L421" s="23"/>
      <c r="M421" s="23"/>
      <c r="N421" s="23"/>
      <c r="O421" s="23"/>
      <c r="Q421" s="23"/>
      <c r="S421" s="23"/>
    </row>
    <row r="422">
      <c r="B422" s="23"/>
      <c r="C422" s="23"/>
      <c r="E422" s="24"/>
      <c r="G422" s="23"/>
      <c r="H422" s="23"/>
      <c r="I422" s="23"/>
      <c r="J422" s="23"/>
      <c r="K422" s="23"/>
      <c r="L422" s="23"/>
      <c r="M422" s="23"/>
      <c r="N422" s="23"/>
      <c r="O422" s="23"/>
      <c r="Q422" s="23"/>
      <c r="S422" s="23"/>
    </row>
    <row r="423">
      <c r="B423" s="23"/>
      <c r="C423" s="23"/>
      <c r="E423" s="24"/>
      <c r="G423" s="23"/>
      <c r="H423" s="23"/>
      <c r="I423" s="23"/>
      <c r="J423" s="23"/>
      <c r="K423" s="23"/>
      <c r="L423" s="23"/>
      <c r="M423" s="23"/>
      <c r="N423" s="23"/>
      <c r="O423" s="23"/>
      <c r="Q423" s="23"/>
      <c r="S423" s="23"/>
    </row>
    <row r="424">
      <c r="B424" s="23"/>
      <c r="C424" s="23"/>
      <c r="E424" s="24"/>
      <c r="G424" s="23"/>
      <c r="H424" s="23"/>
      <c r="I424" s="23"/>
      <c r="J424" s="23"/>
      <c r="K424" s="23"/>
      <c r="L424" s="23"/>
      <c r="M424" s="23"/>
      <c r="N424" s="23"/>
      <c r="O424" s="23"/>
      <c r="Q424" s="23"/>
      <c r="S424" s="23"/>
    </row>
    <row r="425">
      <c r="B425" s="23"/>
      <c r="C425" s="23"/>
      <c r="E425" s="24"/>
      <c r="G425" s="23"/>
      <c r="H425" s="23"/>
      <c r="I425" s="23"/>
      <c r="J425" s="23"/>
      <c r="K425" s="23"/>
      <c r="L425" s="23"/>
      <c r="M425" s="23"/>
      <c r="N425" s="23"/>
      <c r="O425" s="23"/>
      <c r="Q425" s="23"/>
      <c r="S425" s="23"/>
    </row>
    <row r="426">
      <c r="B426" s="23"/>
      <c r="C426" s="23"/>
      <c r="E426" s="24"/>
      <c r="G426" s="23"/>
      <c r="H426" s="23"/>
      <c r="I426" s="23"/>
      <c r="J426" s="23"/>
      <c r="K426" s="23"/>
      <c r="L426" s="23"/>
      <c r="M426" s="23"/>
      <c r="N426" s="23"/>
      <c r="O426" s="23"/>
      <c r="Q426" s="23"/>
      <c r="S426" s="23"/>
    </row>
    <row r="427">
      <c r="B427" s="23"/>
      <c r="C427" s="23"/>
      <c r="E427" s="24"/>
      <c r="G427" s="23"/>
      <c r="H427" s="23"/>
      <c r="I427" s="23"/>
      <c r="J427" s="23"/>
      <c r="K427" s="23"/>
      <c r="L427" s="23"/>
      <c r="M427" s="23"/>
      <c r="N427" s="23"/>
      <c r="O427" s="23"/>
      <c r="Q427" s="23"/>
      <c r="S427" s="23"/>
    </row>
    <row r="428">
      <c r="B428" s="23"/>
      <c r="C428" s="23"/>
      <c r="E428" s="24"/>
      <c r="G428" s="23"/>
      <c r="H428" s="23"/>
      <c r="I428" s="23"/>
      <c r="J428" s="23"/>
      <c r="K428" s="23"/>
      <c r="L428" s="23"/>
      <c r="M428" s="23"/>
      <c r="N428" s="23"/>
      <c r="O428" s="23"/>
      <c r="Q428" s="23"/>
      <c r="S428" s="23"/>
    </row>
    <row r="429">
      <c r="B429" s="23"/>
      <c r="C429" s="23"/>
      <c r="E429" s="24"/>
      <c r="G429" s="23"/>
      <c r="H429" s="23"/>
      <c r="I429" s="23"/>
      <c r="J429" s="23"/>
      <c r="K429" s="23"/>
      <c r="L429" s="23"/>
      <c r="M429" s="23"/>
      <c r="N429" s="23"/>
      <c r="O429" s="23"/>
      <c r="Q429" s="23"/>
      <c r="S429" s="23"/>
    </row>
    <row r="430">
      <c r="B430" s="23"/>
      <c r="C430" s="23"/>
      <c r="E430" s="24"/>
      <c r="G430" s="23"/>
      <c r="H430" s="23"/>
      <c r="I430" s="23"/>
      <c r="J430" s="23"/>
      <c r="K430" s="23"/>
      <c r="L430" s="23"/>
      <c r="M430" s="23"/>
      <c r="N430" s="23"/>
      <c r="O430" s="23"/>
      <c r="Q430" s="23"/>
      <c r="S430" s="23"/>
    </row>
    <row r="431">
      <c r="B431" s="23"/>
      <c r="C431" s="23"/>
      <c r="E431" s="24"/>
      <c r="G431" s="23"/>
      <c r="H431" s="23"/>
      <c r="I431" s="23"/>
      <c r="J431" s="23"/>
      <c r="K431" s="23"/>
      <c r="L431" s="23"/>
      <c r="M431" s="23"/>
      <c r="N431" s="23"/>
      <c r="O431" s="23"/>
      <c r="Q431" s="23"/>
      <c r="S431" s="23"/>
    </row>
    <row r="432">
      <c r="B432" s="23"/>
      <c r="C432" s="23"/>
      <c r="E432" s="24"/>
      <c r="G432" s="23"/>
      <c r="H432" s="23"/>
      <c r="I432" s="23"/>
      <c r="J432" s="23"/>
      <c r="K432" s="23"/>
      <c r="L432" s="23"/>
      <c r="M432" s="23"/>
      <c r="N432" s="23"/>
      <c r="O432" s="23"/>
      <c r="Q432" s="23"/>
      <c r="S432" s="23"/>
    </row>
    <row r="433">
      <c r="B433" s="23"/>
      <c r="C433" s="23"/>
      <c r="E433" s="24"/>
      <c r="G433" s="23"/>
      <c r="H433" s="23"/>
      <c r="I433" s="23"/>
      <c r="J433" s="23"/>
      <c r="K433" s="23"/>
      <c r="L433" s="23"/>
      <c r="M433" s="23"/>
      <c r="N433" s="23"/>
      <c r="O433" s="23"/>
      <c r="Q433" s="23"/>
      <c r="S433" s="23"/>
    </row>
    <row r="434">
      <c r="B434" s="23"/>
      <c r="C434" s="23"/>
      <c r="E434" s="24"/>
      <c r="G434" s="23"/>
      <c r="H434" s="23"/>
      <c r="I434" s="23"/>
      <c r="J434" s="23"/>
      <c r="K434" s="23"/>
      <c r="L434" s="23"/>
      <c r="M434" s="23"/>
      <c r="N434" s="23"/>
      <c r="O434" s="23"/>
      <c r="Q434" s="23"/>
      <c r="S434" s="23"/>
    </row>
    <row r="435">
      <c r="B435" s="23"/>
      <c r="C435" s="23"/>
      <c r="E435" s="24"/>
      <c r="G435" s="23"/>
      <c r="H435" s="23"/>
      <c r="I435" s="23"/>
      <c r="J435" s="23"/>
      <c r="K435" s="23"/>
      <c r="L435" s="23"/>
      <c r="M435" s="23"/>
      <c r="N435" s="23"/>
      <c r="O435" s="23"/>
      <c r="Q435" s="23"/>
      <c r="S435" s="23"/>
    </row>
    <row r="436">
      <c r="B436" s="23"/>
      <c r="C436" s="23"/>
      <c r="E436" s="24"/>
      <c r="G436" s="23"/>
      <c r="H436" s="23"/>
      <c r="I436" s="23"/>
      <c r="J436" s="23"/>
      <c r="K436" s="23"/>
      <c r="L436" s="23"/>
      <c r="M436" s="23"/>
      <c r="N436" s="23"/>
      <c r="O436" s="23"/>
      <c r="Q436" s="23"/>
      <c r="S436" s="23"/>
    </row>
    <row r="437">
      <c r="B437" s="23"/>
      <c r="C437" s="23"/>
      <c r="E437" s="24"/>
      <c r="G437" s="23"/>
      <c r="H437" s="23"/>
      <c r="I437" s="23"/>
      <c r="J437" s="23"/>
      <c r="K437" s="23"/>
      <c r="L437" s="23"/>
      <c r="M437" s="23"/>
      <c r="N437" s="23"/>
      <c r="O437" s="23"/>
      <c r="Q437" s="23"/>
      <c r="S437" s="23"/>
    </row>
    <row r="438">
      <c r="B438" s="23"/>
      <c r="C438" s="23"/>
      <c r="E438" s="24"/>
      <c r="G438" s="23"/>
      <c r="H438" s="23"/>
      <c r="I438" s="23"/>
      <c r="J438" s="23"/>
      <c r="K438" s="23"/>
      <c r="L438" s="23"/>
      <c r="M438" s="23"/>
      <c r="N438" s="23"/>
      <c r="O438" s="23"/>
      <c r="Q438" s="23"/>
      <c r="S438" s="23"/>
    </row>
    <row r="439">
      <c r="B439" s="23"/>
      <c r="C439" s="23"/>
      <c r="E439" s="24"/>
      <c r="G439" s="23"/>
      <c r="H439" s="23"/>
      <c r="I439" s="23"/>
      <c r="J439" s="23"/>
      <c r="K439" s="23"/>
      <c r="L439" s="23"/>
      <c r="M439" s="23"/>
      <c r="N439" s="23"/>
      <c r="O439" s="23"/>
      <c r="Q439" s="23"/>
      <c r="S439" s="23"/>
    </row>
    <row r="440">
      <c r="B440" s="23"/>
      <c r="C440" s="23"/>
      <c r="E440" s="24"/>
      <c r="G440" s="23"/>
      <c r="H440" s="23"/>
      <c r="I440" s="23"/>
      <c r="J440" s="23"/>
      <c r="K440" s="23"/>
      <c r="L440" s="23"/>
      <c r="M440" s="23"/>
      <c r="N440" s="23"/>
      <c r="O440" s="23"/>
      <c r="Q440" s="23"/>
      <c r="S440" s="23"/>
    </row>
    <row r="441">
      <c r="B441" s="23"/>
      <c r="C441" s="23"/>
      <c r="E441" s="24"/>
      <c r="G441" s="23"/>
      <c r="H441" s="23"/>
      <c r="I441" s="23"/>
      <c r="J441" s="23"/>
      <c r="K441" s="23"/>
      <c r="L441" s="23"/>
      <c r="M441" s="23"/>
      <c r="N441" s="23"/>
      <c r="O441" s="23"/>
      <c r="Q441" s="23"/>
      <c r="S441" s="23"/>
    </row>
    <row r="442">
      <c r="B442" s="23"/>
      <c r="C442" s="23"/>
      <c r="E442" s="24"/>
      <c r="G442" s="23"/>
      <c r="H442" s="23"/>
      <c r="I442" s="23"/>
      <c r="J442" s="23"/>
      <c r="K442" s="23"/>
      <c r="L442" s="23"/>
      <c r="M442" s="23"/>
      <c r="N442" s="23"/>
      <c r="O442" s="23"/>
      <c r="Q442" s="23"/>
      <c r="S442" s="23"/>
    </row>
    <row r="443">
      <c r="B443" s="23"/>
      <c r="C443" s="23"/>
      <c r="E443" s="24"/>
      <c r="G443" s="23"/>
      <c r="H443" s="23"/>
      <c r="I443" s="23"/>
      <c r="J443" s="23"/>
      <c r="K443" s="23"/>
      <c r="L443" s="23"/>
      <c r="M443" s="23"/>
      <c r="N443" s="23"/>
      <c r="O443" s="23"/>
      <c r="Q443" s="23"/>
      <c r="S443" s="23"/>
    </row>
    <row r="444">
      <c r="B444" s="23"/>
      <c r="C444" s="23"/>
      <c r="E444" s="24"/>
      <c r="G444" s="23"/>
      <c r="H444" s="23"/>
      <c r="I444" s="23"/>
      <c r="J444" s="23"/>
      <c r="K444" s="23"/>
      <c r="L444" s="23"/>
      <c r="M444" s="23"/>
      <c r="N444" s="23"/>
      <c r="O444" s="23"/>
      <c r="Q444" s="23"/>
      <c r="S444" s="23"/>
    </row>
    <row r="445">
      <c r="B445" s="23"/>
      <c r="C445" s="23"/>
      <c r="E445" s="24"/>
      <c r="G445" s="23"/>
      <c r="H445" s="23"/>
      <c r="I445" s="23"/>
      <c r="J445" s="23"/>
      <c r="K445" s="23"/>
      <c r="L445" s="23"/>
      <c r="M445" s="23"/>
      <c r="N445" s="23"/>
      <c r="O445" s="23"/>
      <c r="Q445" s="23"/>
      <c r="S445" s="23"/>
    </row>
    <row r="446">
      <c r="B446" s="23"/>
      <c r="C446" s="23"/>
      <c r="E446" s="24"/>
      <c r="G446" s="23"/>
      <c r="H446" s="23"/>
      <c r="I446" s="23"/>
      <c r="J446" s="23"/>
      <c r="K446" s="23"/>
      <c r="L446" s="23"/>
      <c r="M446" s="23"/>
      <c r="N446" s="23"/>
      <c r="O446" s="23"/>
      <c r="Q446" s="23"/>
      <c r="S446" s="23"/>
    </row>
    <row r="447">
      <c r="B447" s="23"/>
      <c r="C447" s="23"/>
      <c r="E447" s="24"/>
      <c r="G447" s="23"/>
      <c r="H447" s="23"/>
      <c r="I447" s="23"/>
      <c r="J447" s="23"/>
      <c r="K447" s="23"/>
      <c r="L447" s="23"/>
      <c r="M447" s="23"/>
      <c r="N447" s="23"/>
      <c r="O447" s="23"/>
      <c r="Q447" s="23"/>
      <c r="S447" s="23"/>
    </row>
    <row r="448">
      <c r="B448" s="23"/>
      <c r="C448" s="23"/>
      <c r="E448" s="24"/>
      <c r="G448" s="23"/>
      <c r="H448" s="23"/>
      <c r="I448" s="23"/>
      <c r="J448" s="23"/>
      <c r="K448" s="23"/>
      <c r="L448" s="23"/>
      <c r="M448" s="23"/>
      <c r="N448" s="23"/>
      <c r="O448" s="23"/>
      <c r="Q448" s="23"/>
      <c r="S448" s="23"/>
    </row>
    <row r="449">
      <c r="B449" s="23"/>
      <c r="C449" s="23"/>
      <c r="E449" s="24"/>
      <c r="G449" s="23"/>
      <c r="H449" s="23"/>
      <c r="I449" s="23"/>
      <c r="J449" s="23"/>
      <c r="K449" s="23"/>
      <c r="L449" s="23"/>
      <c r="M449" s="23"/>
      <c r="N449" s="23"/>
      <c r="O449" s="23"/>
      <c r="Q449" s="23"/>
      <c r="S449" s="23"/>
    </row>
    <row r="450">
      <c r="B450" s="23"/>
      <c r="C450" s="23"/>
      <c r="E450" s="24"/>
      <c r="G450" s="23"/>
      <c r="H450" s="23"/>
      <c r="I450" s="23"/>
      <c r="J450" s="23"/>
      <c r="K450" s="23"/>
      <c r="L450" s="23"/>
      <c r="M450" s="23"/>
      <c r="N450" s="23"/>
      <c r="O450" s="23"/>
      <c r="Q450" s="23"/>
      <c r="S450" s="23"/>
    </row>
    <row r="451">
      <c r="B451" s="23"/>
      <c r="C451" s="23"/>
      <c r="E451" s="24"/>
      <c r="G451" s="23"/>
      <c r="H451" s="23"/>
      <c r="I451" s="23"/>
      <c r="J451" s="23"/>
      <c r="K451" s="23"/>
      <c r="L451" s="23"/>
      <c r="M451" s="23"/>
      <c r="N451" s="23"/>
      <c r="O451" s="23"/>
      <c r="Q451" s="23"/>
      <c r="S451" s="23"/>
    </row>
    <row r="452">
      <c r="B452" s="23"/>
      <c r="C452" s="23"/>
      <c r="E452" s="24"/>
      <c r="G452" s="23"/>
      <c r="H452" s="23"/>
      <c r="I452" s="23"/>
      <c r="J452" s="23"/>
      <c r="K452" s="23"/>
      <c r="L452" s="23"/>
      <c r="M452" s="23"/>
      <c r="N452" s="23"/>
      <c r="O452" s="23"/>
      <c r="Q452" s="23"/>
      <c r="S452" s="23"/>
    </row>
    <row r="453">
      <c r="B453" s="23"/>
      <c r="C453" s="23"/>
      <c r="E453" s="24"/>
      <c r="G453" s="23"/>
      <c r="H453" s="23"/>
      <c r="I453" s="23"/>
      <c r="J453" s="23"/>
      <c r="K453" s="23"/>
      <c r="L453" s="23"/>
      <c r="M453" s="23"/>
      <c r="N453" s="23"/>
      <c r="O453" s="23"/>
      <c r="Q453" s="23"/>
      <c r="S453" s="23"/>
    </row>
    <row r="454">
      <c r="B454" s="23"/>
      <c r="C454" s="23"/>
      <c r="E454" s="24"/>
      <c r="G454" s="23"/>
      <c r="H454" s="23"/>
      <c r="I454" s="23"/>
      <c r="J454" s="23"/>
      <c r="K454" s="23"/>
      <c r="L454" s="23"/>
      <c r="M454" s="23"/>
      <c r="N454" s="23"/>
      <c r="O454" s="23"/>
      <c r="Q454" s="23"/>
      <c r="S454" s="23"/>
    </row>
    <row r="455">
      <c r="B455" s="23"/>
      <c r="C455" s="23"/>
      <c r="E455" s="24"/>
      <c r="G455" s="23"/>
      <c r="H455" s="23"/>
      <c r="I455" s="23"/>
      <c r="J455" s="23"/>
      <c r="K455" s="23"/>
      <c r="L455" s="23"/>
      <c r="M455" s="23"/>
      <c r="N455" s="23"/>
      <c r="O455" s="23"/>
      <c r="Q455" s="23"/>
      <c r="S455" s="23"/>
    </row>
    <row r="456">
      <c r="B456" s="23"/>
      <c r="C456" s="23"/>
      <c r="E456" s="24"/>
      <c r="G456" s="23"/>
      <c r="H456" s="23"/>
      <c r="I456" s="23"/>
      <c r="J456" s="23"/>
      <c r="K456" s="23"/>
      <c r="L456" s="23"/>
      <c r="M456" s="23"/>
      <c r="N456" s="23"/>
      <c r="O456" s="23"/>
      <c r="Q456" s="23"/>
      <c r="S456" s="23"/>
    </row>
    <row r="457">
      <c r="B457" s="23"/>
      <c r="C457" s="23"/>
      <c r="E457" s="24"/>
      <c r="G457" s="23"/>
      <c r="H457" s="23"/>
      <c r="I457" s="23"/>
      <c r="J457" s="23"/>
      <c r="K457" s="23"/>
      <c r="L457" s="23"/>
      <c r="M457" s="23"/>
      <c r="N457" s="23"/>
      <c r="O457" s="23"/>
      <c r="Q457" s="23"/>
      <c r="S457" s="23"/>
    </row>
    <row r="458">
      <c r="B458" s="23"/>
      <c r="C458" s="23"/>
      <c r="E458" s="24"/>
      <c r="G458" s="23"/>
      <c r="H458" s="23"/>
      <c r="I458" s="23"/>
      <c r="J458" s="23"/>
      <c r="K458" s="23"/>
      <c r="L458" s="23"/>
      <c r="M458" s="23"/>
      <c r="N458" s="23"/>
      <c r="O458" s="23"/>
      <c r="Q458" s="23"/>
      <c r="S458" s="23"/>
    </row>
    <row r="459">
      <c r="B459" s="23"/>
      <c r="C459" s="23"/>
      <c r="E459" s="24"/>
      <c r="G459" s="23"/>
      <c r="H459" s="23"/>
      <c r="I459" s="23"/>
      <c r="J459" s="23"/>
      <c r="K459" s="23"/>
      <c r="L459" s="23"/>
      <c r="M459" s="23"/>
      <c r="N459" s="23"/>
      <c r="O459" s="23"/>
      <c r="Q459" s="23"/>
      <c r="S459" s="23"/>
    </row>
    <row r="460">
      <c r="B460" s="23"/>
      <c r="C460" s="23"/>
      <c r="E460" s="24"/>
      <c r="G460" s="23"/>
      <c r="H460" s="23"/>
      <c r="I460" s="23"/>
      <c r="J460" s="23"/>
      <c r="K460" s="23"/>
      <c r="L460" s="23"/>
      <c r="M460" s="23"/>
      <c r="N460" s="23"/>
      <c r="O460" s="23"/>
      <c r="Q460" s="23"/>
      <c r="S460" s="23"/>
    </row>
    <row r="461">
      <c r="B461" s="23"/>
      <c r="C461" s="23"/>
      <c r="E461" s="24"/>
      <c r="G461" s="23"/>
      <c r="H461" s="23"/>
      <c r="I461" s="23"/>
      <c r="J461" s="23"/>
      <c r="K461" s="23"/>
      <c r="L461" s="23"/>
      <c r="M461" s="23"/>
      <c r="N461" s="23"/>
      <c r="O461" s="23"/>
      <c r="Q461" s="23"/>
      <c r="S461" s="23"/>
    </row>
    <row r="462">
      <c r="B462" s="23"/>
      <c r="C462" s="23"/>
      <c r="E462" s="24"/>
      <c r="G462" s="23"/>
      <c r="H462" s="23"/>
      <c r="I462" s="23"/>
      <c r="J462" s="23"/>
      <c r="K462" s="23"/>
      <c r="L462" s="23"/>
      <c r="M462" s="23"/>
      <c r="N462" s="23"/>
      <c r="O462" s="23"/>
      <c r="Q462" s="23"/>
      <c r="S462" s="23"/>
    </row>
    <row r="463">
      <c r="B463" s="23"/>
      <c r="C463" s="23"/>
      <c r="E463" s="24"/>
      <c r="G463" s="23"/>
      <c r="H463" s="23"/>
      <c r="I463" s="23"/>
      <c r="J463" s="23"/>
      <c r="K463" s="23"/>
      <c r="L463" s="23"/>
      <c r="M463" s="23"/>
      <c r="N463" s="23"/>
      <c r="O463" s="23"/>
      <c r="Q463" s="23"/>
      <c r="S463" s="23"/>
    </row>
    <row r="464">
      <c r="B464" s="23"/>
      <c r="C464" s="23"/>
      <c r="E464" s="24"/>
      <c r="G464" s="23"/>
      <c r="H464" s="23"/>
      <c r="I464" s="23"/>
      <c r="J464" s="23"/>
      <c r="K464" s="23"/>
      <c r="L464" s="23"/>
      <c r="M464" s="23"/>
      <c r="N464" s="23"/>
      <c r="O464" s="23"/>
      <c r="Q464" s="23"/>
      <c r="S464" s="23"/>
    </row>
    <row r="465">
      <c r="B465" s="23"/>
      <c r="C465" s="23"/>
      <c r="E465" s="24"/>
      <c r="G465" s="23"/>
      <c r="H465" s="23"/>
      <c r="I465" s="23"/>
      <c r="J465" s="23"/>
      <c r="K465" s="23"/>
      <c r="L465" s="23"/>
      <c r="M465" s="23"/>
      <c r="N465" s="23"/>
      <c r="O465" s="23"/>
      <c r="Q465" s="23"/>
      <c r="S465" s="23"/>
    </row>
    <row r="466">
      <c r="B466" s="23"/>
      <c r="C466" s="23"/>
      <c r="E466" s="24"/>
      <c r="G466" s="23"/>
      <c r="H466" s="23"/>
      <c r="I466" s="23"/>
      <c r="J466" s="23"/>
      <c r="K466" s="23"/>
      <c r="L466" s="23"/>
      <c r="M466" s="23"/>
      <c r="N466" s="23"/>
      <c r="O466" s="23"/>
      <c r="Q466" s="23"/>
      <c r="S466" s="23"/>
    </row>
    <row r="467">
      <c r="B467" s="23"/>
      <c r="C467" s="23"/>
      <c r="E467" s="24"/>
      <c r="G467" s="23"/>
      <c r="H467" s="23"/>
      <c r="I467" s="23"/>
      <c r="J467" s="23"/>
      <c r="K467" s="23"/>
      <c r="L467" s="23"/>
      <c r="M467" s="23"/>
      <c r="N467" s="23"/>
      <c r="O467" s="23"/>
      <c r="Q467" s="23"/>
      <c r="S467" s="23"/>
    </row>
    <row r="468">
      <c r="B468" s="23"/>
      <c r="C468" s="23"/>
      <c r="E468" s="24"/>
      <c r="G468" s="23"/>
      <c r="H468" s="23"/>
      <c r="I468" s="23"/>
      <c r="J468" s="23"/>
      <c r="K468" s="23"/>
      <c r="L468" s="23"/>
      <c r="M468" s="23"/>
      <c r="N468" s="23"/>
      <c r="O468" s="23"/>
      <c r="Q468" s="23"/>
      <c r="S468" s="23"/>
    </row>
    <row r="469">
      <c r="B469" s="23"/>
      <c r="C469" s="23"/>
      <c r="E469" s="24"/>
      <c r="G469" s="23"/>
      <c r="H469" s="23"/>
      <c r="I469" s="23"/>
      <c r="J469" s="23"/>
      <c r="K469" s="23"/>
      <c r="L469" s="23"/>
      <c r="M469" s="23"/>
      <c r="N469" s="23"/>
      <c r="O469" s="23"/>
      <c r="Q469" s="23"/>
      <c r="S469" s="23"/>
    </row>
    <row r="470">
      <c r="B470" s="23"/>
      <c r="C470" s="23"/>
      <c r="E470" s="24"/>
      <c r="G470" s="23"/>
      <c r="H470" s="23"/>
      <c r="I470" s="23"/>
      <c r="J470" s="23"/>
      <c r="K470" s="23"/>
      <c r="L470" s="23"/>
      <c r="M470" s="23"/>
      <c r="N470" s="23"/>
      <c r="O470" s="23"/>
      <c r="Q470" s="23"/>
      <c r="S470" s="23"/>
    </row>
    <row r="471">
      <c r="B471" s="23"/>
      <c r="C471" s="23"/>
      <c r="E471" s="24"/>
      <c r="G471" s="23"/>
      <c r="H471" s="23"/>
      <c r="I471" s="23"/>
      <c r="J471" s="23"/>
      <c r="K471" s="23"/>
      <c r="L471" s="23"/>
      <c r="M471" s="23"/>
      <c r="N471" s="23"/>
      <c r="O471" s="23"/>
      <c r="Q471" s="23"/>
      <c r="S471" s="23"/>
    </row>
    <row r="472">
      <c r="B472" s="23"/>
      <c r="C472" s="23"/>
      <c r="E472" s="24"/>
      <c r="G472" s="23"/>
      <c r="H472" s="23"/>
      <c r="I472" s="23"/>
      <c r="J472" s="23"/>
      <c r="K472" s="23"/>
      <c r="L472" s="23"/>
      <c r="M472" s="23"/>
      <c r="N472" s="23"/>
      <c r="O472" s="23"/>
      <c r="Q472" s="23"/>
      <c r="S472" s="23"/>
    </row>
    <row r="473">
      <c r="B473" s="23"/>
      <c r="C473" s="23"/>
      <c r="E473" s="24"/>
      <c r="G473" s="23"/>
      <c r="H473" s="23"/>
      <c r="I473" s="23"/>
      <c r="J473" s="23"/>
      <c r="K473" s="23"/>
      <c r="L473" s="23"/>
      <c r="M473" s="23"/>
      <c r="N473" s="23"/>
      <c r="O473" s="23"/>
      <c r="Q473" s="23"/>
      <c r="S473" s="23"/>
    </row>
    <row r="474">
      <c r="B474" s="23"/>
      <c r="C474" s="23"/>
      <c r="E474" s="24"/>
      <c r="G474" s="23"/>
      <c r="H474" s="23"/>
      <c r="I474" s="23"/>
      <c r="J474" s="23"/>
      <c r="K474" s="23"/>
      <c r="L474" s="23"/>
      <c r="M474" s="23"/>
      <c r="N474" s="23"/>
      <c r="O474" s="23"/>
      <c r="Q474" s="23"/>
      <c r="S474" s="23"/>
    </row>
    <row r="475">
      <c r="B475" s="23"/>
      <c r="C475" s="23"/>
      <c r="E475" s="24"/>
      <c r="G475" s="23"/>
      <c r="H475" s="23"/>
      <c r="I475" s="23"/>
      <c r="J475" s="23"/>
      <c r="K475" s="23"/>
      <c r="L475" s="23"/>
      <c r="M475" s="23"/>
      <c r="N475" s="23"/>
      <c r="O475" s="23"/>
      <c r="Q475" s="23"/>
      <c r="S475" s="23"/>
    </row>
    <row r="476">
      <c r="B476" s="23"/>
      <c r="C476" s="23"/>
      <c r="E476" s="24"/>
      <c r="G476" s="23"/>
      <c r="H476" s="23"/>
      <c r="I476" s="23"/>
      <c r="J476" s="23"/>
      <c r="K476" s="23"/>
      <c r="L476" s="23"/>
      <c r="M476" s="23"/>
      <c r="N476" s="23"/>
      <c r="O476" s="23"/>
      <c r="Q476" s="23"/>
      <c r="S476" s="23"/>
    </row>
    <row r="477">
      <c r="B477" s="23"/>
      <c r="C477" s="23"/>
      <c r="E477" s="24"/>
      <c r="G477" s="23"/>
      <c r="H477" s="23"/>
      <c r="I477" s="23"/>
      <c r="J477" s="23"/>
      <c r="K477" s="23"/>
      <c r="L477" s="23"/>
      <c r="M477" s="23"/>
      <c r="N477" s="23"/>
      <c r="O477" s="23"/>
      <c r="Q477" s="23"/>
      <c r="S477" s="23"/>
    </row>
    <row r="478">
      <c r="B478" s="23"/>
      <c r="C478" s="23"/>
      <c r="E478" s="24"/>
      <c r="G478" s="23"/>
      <c r="H478" s="23"/>
      <c r="I478" s="23"/>
      <c r="J478" s="23"/>
      <c r="K478" s="23"/>
      <c r="L478" s="23"/>
      <c r="M478" s="23"/>
      <c r="N478" s="23"/>
      <c r="O478" s="23"/>
      <c r="Q478" s="23"/>
      <c r="S478" s="23"/>
    </row>
    <row r="479">
      <c r="B479" s="23"/>
      <c r="C479" s="23"/>
      <c r="E479" s="24"/>
      <c r="G479" s="23"/>
      <c r="H479" s="23"/>
      <c r="I479" s="23"/>
      <c r="J479" s="23"/>
      <c r="K479" s="23"/>
      <c r="L479" s="23"/>
      <c r="M479" s="23"/>
      <c r="N479" s="23"/>
      <c r="O479" s="23"/>
      <c r="Q479" s="23"/>
      <c r="S479" s="23"/>
    </row>
    <row r="480">
      <c r="B480" s="23"/>
      <c r="C480" s="23"/>
      <c r="E480" s="24"/>
      <c r="G480" s="23"/>
      <c r="H480" s="23"/>
      <c r="I480" s="23"/>
      <c r="J480" s="23"/>
      <c r="K480" s="23"/>
      <c r="L480" s="23"/>
      <c r="M480" s="23"/>
      <c r="N480" s="23"/>
      <c r="O480" s="23"/>
      <c r="Q480" s="23"/>
      <c r="S480" s="23"/>
    </row>
    <row r="481">
      <c r="B481" s="23"/>
      <c r="C481" s="23"/>
      <c r="E481" s="24"/>
      <c r="G481" s="23"/>
      <c r="H481" s="23"/>
      <c r="I481" s="23"/>
      <c r="J481" s="23"/>
      <c r="K481" s="23"/>
      <c r="L481" s="23"/>
      <c r="M481" s="23"/>
      <c r="N481" s="23"/>
      <c r="O481" s="23"/>
      <c r="Q481" s="23"/>
      <c r="S481" s="23"/>
    </row>
    <row r="482">
      <c r="B482" s="23"/>
      <c r="C482" s="23"/>
      <c r="E482" s="24"/>
      <c r="G482" s="23"/>
      <c r="H482" s="23"/>
      <c r="I482" s="23"/>
      <c r="J482" s="23"/>
      <c r="K482" s="23"/>
      <c r="L482" s="23"/>
      <c r="M482" s="23"/>
      <c r="N482" s="23"/>
      <c r="O482" s="23"/>
      <c r="Q482" s="23"/>
      <c r="S482" s="23"/>
    </row>
    <row r="483">
      <c r="B483" s="23"/>
      <c r="C483" s="23"/>
      <c r="E483" s="24"/>
      <c r="G483" s="23"/>
      <c r="H483" s="23"/>
      <c r="I483" s="23"/>
      <c r="J483" s="23"/>
      <c r="K483" s="23"/>
      <c r="L483" s="23"/>
      <c r="M483" s="23"/>
      <c r="N483" s="23"/>
      <c r="O483" s="23"/>
      <c r="Q483" s="23"/>
      <c r="S483" s="23"/>
    </row>
    <row r="484">
      <c r="B484" s="23"/>
      <c r="C484" s="23"/>
      <c r="E484" s="24"/>
      <c r="G484" s="23"/>
      <c r="H484" s="23"/>
      <c r="I484" s="23"/>
      <c r="J484" s="23"/>
      <c r="K484" s="23"/>
      <c r="L484" s="23"/>
      <c r="M484" s="23"/>
      <c r="N484" s="23"/>
      <c r="O484" s="23"/>
      <c r="Q484" s="23"/>
      <c r="S484" s="23"/>
    </row>
    <row r="485">
      <c r="B485" s="23"/>
      <c r="C485" s="23"/>
      <c r="E485" s="24"/>
      <c r="G485" s="23"/>
      <c r="H485" s="23"/>
      <c r="I485" s="23"/>
      <c r="J485" s="23"/>
      <c r="K485" s="23"/>
      <c r="L485" s="23"/>
      <c r="M485" s="23"/>
      <c r="N485" s="23"/>
      <c r="O485" s="23"/>
      <c r="Q485" s="23"/>
      <c r="S485" s="23"/>
    </row>
    <row r="486">
      <c r="B486" s="23"/>
      <c r="C486" s="23"/>
      <c r="E486" s="24"/>
      <c r="G486" s="23"/>
      <c r="H486" s="23"/>
      <c r="I486" s="23"/>
      <c r="J486" s="23"/>
      <c r="K486" s="23"/>
      <c r="L486" s="23"/>
      <c r="M486" s="23"/>
      <c r="N486" s="23"/>
      <c r="O486" s="23"/>
      <c r="Q486" s="23"/>
      <c r="S486" s="23"/>
    </row>
    <row r="487">
      <c r="B487" s="23"/>
      <c r="C487" s="23"/>
      <c r="E487" s="24"/>
      <c r="G487" s="23"/>
      <c r="H487" s="23"/>
      <c r="I487" s="23"/>
      <c r="J487" s="23"/>
      <c r="K487" s="23"/>
      <c r="L487" s="23"/>
      <c r="M487" s="23"/>
      <c r="N487" s="23"/>
      <c r="O487" s="23"/>
      <c r="Q487" s="23"/>
      <c r="S487" s="23"/>
    </row>
    <row r="488">
      <c r="B488" s="23"/>
      <c r="C488" s="23"/>
      <c r="E488" s="24"/>
      <c r="G488" s="23"/>
      <c r="H488" s="23"/>
      <c r="I488" s="23"/>
      <c r="J488" s="23"/>
      <c r="K488" s="23"/>
      <c r="L488" s="23"/>
      <c r="M488" s="23"/>
      <c r="N488" s="23"/>
      <c r="O488" s="23"/>
      <c r="Q488" s="23"/>
      <c r="S488" s="23"/>
    </row>
    <row r="489">
      <c r="B489" s="23"/>
      <c r="C489" s="23"/>
      <c r="E489" s="24"/>
      <c r="G489" s="23"/>
      <c r="H489" s="23"/>
      <c r="I489" s="23"/>
      <c r="J489" s="23"/>
      <c r="K489" s="23"/>
      <c r="L489" s="23"/>
      <c r="M489" s="23"/>
      <c r="N489" s="23"/>
      <c r="O489" s="23"/>
      <c r="Q489" s="23"/>
      <c r="S489" s="23"/>
    </row>
    <row r="490">
      <c r="B490" s="23"/>
      <c r="C490" s="23"/>
      <c r="E490" s="24"/>
      <c r="G490" s="23"/>
      <c r="H490" s="23"/>
      <c r="I490" s="23"/>
      <c r="J490" s="23"/>
      <c r="K490" s="23"/>
      <c r="L490" s="23"/>
      <c r="M490" s="23"/>
      <c r="N490" s="23"/>
      <c r="O490" s="23"/>
      <c r="Q490" s="23"/>
      <c r="S490" s="23"/>
    </row>
    <row r="491">
      <c r="B491" s="23"/>
      <c r="C491" s="23"/>
      <c r="E491" s="24"/>
      <c r="G491" s="23"/>
      <c r="H491" s="23"/>
      <c r="I491" s="23"/>
      <c r="J491" s="23"/>
      <c r="K491" s="23"/>
      <c r="L491" s="23"/>
      <c r="M491" s="23"/>
      <c r="N491" s="23"/>
      <c r="O491" s="23"/>
      <c r="Q491" s="23"/>
      <c r="S491" s="23"/>
    </row>
    <row r="492">
      <c r="B492" s="23"/>
      <c r="C492" s="23"/>
      <c r="E492" s="24"/>
      <c r="G492" s="23"/>
      <c r="H492" s="23"/>
      <c r="I492" s="23"/>
      <c r="J492" s="23"/>
      <c r="K492" s="23"/>
      <c r="L492" s="23"/>
      <c r="M492" s="23"/>
      <c r="N492" s="23"/>
      <c r="O492" s="23"/>
      <c r="Q492" s="23"/>
      <c r="S492" s="23"/>
    </row>
    <row r="493">
      <c r="B493" s="23"/>
      <c r="C493" s="23"/>
      <c r="E493" s="24"/>
      <c r="G493" s="23"/>
      <c r="H493" s="23"/>
      <c r="I493" s="23"/>
      <c r="J493" s="23"/>
      <c r="K493" s="23"/>
      <c r="L493" s="23"/>
      <c r="M493" s="23"/>
      <c r="N493" s="23"/>
      <c r="O493" s="23"/>
      <c r="Q493" s="23"/>
      <c r="S493" s="23"/>
    </row>
    <row r="494">
      <c r="B494" s="23"/>
      <c r="C494" s="23"/>
      <c r="E494" s="24"/>
      <c r="G494" s="23"/>
      <c r="H494" s="23"/>
      <c r="I494" s="23"/>
      <c r="J494" s="23"/>
      <c r="K494" s="23"/>
      <c r="L494" s="23"/>
      <c r="M494" s="23"/>
      <c r="N494" s="23"/>
      <c r="O494" s="23"/>
      <c r="Q494" s="23"/>
      <c r="S494" s="23"/>
    </row>
    <row r="495">
      <c r="B495" s="23"/>
      <c r="C495" s="23"/>
      <c r="E495" s="24"/>
      <c r="G495" s="23"/>
      <c r="H495" s="23"/>
      <c r="I495" s="23"/>
      <c r="J495" s="23"/>
      <c r="K495" s="23"/>
      <c r="L495" s="23"/>
      <c r="M495" s="23"/>
      <c r="N495" s="23"/>
      <c r="O495" s="23"/>
      <c r="Q495" s="23"/>
      <c r="S495" s="23"/>
    </row>
    <row r="496">
      <c r="B496" s="23"/>
      <c r="C496" s="23"/>
      <c r="E496" s="24"/>
      <c r="G496" s="23"/>
      <c r="H496" s="23"/>
      <c r="I496" s="23"/>
      <c r="J496" s="23"/>
      <c r="K496" s="23"/>
      <c r="L496" s="23"/>
      <c r="M496" s="23"/>
      <c r="N496" s="23"/>
      <c r="O496" s="23"/>
      <c r="Q496" s="23"/>
      <c r="S496" s="23"/>
    </row>
    <row r="497">
      <c r="B497" s="23"/>
      <c r="C497" s="23"/>
      <c r="E497" s="24"/>
      <c r="G497" s="23"/>
      <c r="H497" s="23"/>
      <c r="I497" s="23"/>
      <c r="J497" s="23"/>
      <c r="K497" s="23"/>
      <c r="L497" s="23"/>
      <c r="M497" s="23"/>
      <c r="N497" s="23"/>
      <c r="O497" s="23"/>
      <c r="Q497" s="23"/>
      <c r="S497" s="23"/>
    </row>
    <row r="498">
      <c r="B498" s="23"/>
      <c r="C498" s="23"/>
      <c r="E498" s="24"/>
      <c r="G498" s="23"/>
      <c r="H498" s="23"/>
      <c r="I498" s="23"/>
      <c r="J498" s="23"/>
      <c r="K498" s="23"/>
      <c r="L498" s="23"/>
      <c r="M498" s="23"/>
      <c r="N498" s="23"/>
      <c r="O498" s="23"/>
      <c r="Q498" s="23"/>
      <c r="S498" s="23"/>
    </row>
    <row r="499">
      <c r="B499" s="23"/>
      <c r="C499" s="23"/>
      <c r="E499" s="24"/>
      <c r="G499" s="23"/>
      <c r="H499" s="23"/>
      <c r="I499" s="23"/>
      <c r="J499" s="23"/>
      <c r="K499" s="23"/>
      <c r="L499" s="23"/>
      <c r="M499" s="23"/>
      <c r="N499" s="23"/>
      <c r="O499" s="23"/>
      <c r="Q499" s="23"/>
      <c r="S499" s="23"/>
    </row>
    <row r="500">
      <c r="B500" s="23"/>
      <c r="C500" s="23"/>
      <c r="E500" s="24"/>
      <c r="G500" s="23"/>
      <c r="H500" s="23"/>
      <c r="I500" s="23"/>
      <c r="J500" s="23"/>
      <c r="K500" s="23"/>
      <c r="L500" s="23"/>
      <c r="M500" s="23"/>
      <c r="N500" s="23"/>
      <c r="O500" s="23"/>
      <c r="Q500" s="23"/>
      <c r="S500" s="23"/>
    </row>
    <row r="501">
      <c r="B501" s="23"/>
      <c r="C501" s="23"/>
      <c r="E501" s="24"/>
      <c r="G501" s="23"/>
      <c r="H501" s="23"/>
      <c r="I501" s="23"/>
      <c r="J501" s="23"/>
      <c r="K501" s="23"/>
      <c r="L501" s="23"/>
      <c r="M501" s="23"/>
      <c r="N501" s="23"/>
      <c r="O501" s="23"/>
      <c r="Q501" s="23"/>
      <c r="S501" s="23"/>
    </row>
    <row r="502">
      <c r="B502" s="23"/>
      <c r="C502" s="23"/>
      <c r="E502" s="24"/>
      <c r="G502" s="23"/>
      <c r="H502" s="23"/>
      <c r="I502" s="23"/>
      <c r="J502" s="23"/>
      <c r="K502" s="23"/>
      <c r="L502" s="23"/>
      <c r="M502" s="23"/>
      <c r="N502" s="23"/>
      <c r="O502" s="23"/>
      <c r="Q502" s="23"/>
      <c r="S502" s="23"/>
    </row>
    <row r="503">
      <c r="B503" s="23"/>
      <c r="C503" s="23"/>
      <c r="E503" s="24"/>
      <c r="G503" s="23"/>
      <c r="H503" s="23"/>
      <c r="I503" s="23"/>
      <c r="J503" s="23"/>
      <c r="K503" s="23"/>
      <c r="L503" s="23"/>
      <c r="M503" s="23"/>
      <c r="N503" s="23"/>
      <c r="O503" s="23"/>
      <c r="Q503" s="23"/>
      <c r="S503" s="23"/>
    </row>
    <row r="504">
      <c r="B504" s="23"/>
      <c r="C504" s="23"/>
      <c r="E504" s="24"/>
      <c r="G504" s="23"/>
      <c r="H504" s="23"/>
      <c r="I504" s="23"/>
      <c r="J504" s="23"/>
      <c r="K504" s="23"/>
      <c r="L504" s="23"/>
      <c r="M504" s="23"/>
      <c r="N504" s="23"/>
      <c r="O504" s="23"/>
      <c r="Q504" s="23"/>
      <c r="S504" s="23"/>
    </row>
    <row r="505">
      <c r="B505" s="23"/>
      <c r="C505" s="23"/>
      <c r="E505" s="24"/>
      <c r="G505" s="23"/>
      <c r="H505" s="23"/>
      <c r="I505" s="23"/>
      <c r="J505" s="23"/>
      <c r="K505" s="23"/>
      <c r="L505" s="23"/>
      <c r="M505" s="23"/>
      <c r="N505" s="23"/>
      <c r="O505" s="23"/>
      <c r="Q505" s="23"/>
      <c r="S505" s="23"/>
    </row>
    <row r="506">
      <c r="B506" s="23"/>
      <c r="C506" s="23"/>
      <c r="E506" s="24"/>
      <c r="G506" s="23"/>
      <c r="H506" s="23"/>
      <c r="I506" s="23"/>
      <c r="J506" s="23"/>
      <c r="K506" s="23"/>
      <c r="L506" s="23"/>
      <c r="M506" s="23"/>
      <c r="N506" s="23"/>
      <c r="O506" s="23"/>
      <c r="Q506" s="23"/>
      <c r="S506" s="23"/>
    </row>
    <row r="507">
      <c r="B507" s="23"/>
      <c r="C507" s="23"/>
      <c r="E507" s="24"/>
      <c r="G507" s="23"/>
      <c r="H507" s="23"/>
      <c r="I507" s="23"/>
      <c r="J507" s="23"/>
      <c r="K507" s="23"/>
      <c r="L507" s="23"/>
      <c r="M507" s="23"/>
      <c r="N507" s="23"/>
      <c r="O507" s="23"/>
      <c r="Q507" s="23"/>
      <c r="S507" s="23"/>
    </row>
    <row r="508">
      <c r="B508" s="23"/>
      <c r="C508" s="23"/>
      <c r="E508" s="24"/>
      <c r="G508" s="23"/>
      <c r="H508" s="23"/>
      <c r="I508" s="23"/>
      <c r="J508" s="23"/>
      <c r="K508" s="23"/>
      <c r="L508" s="23"/>
      <c r="M508" s="23"/>
      <c r="N508" s="23"/>
      <c r="O508" s="23"/>
      <c r="Q508" s="23"/>
      <c r="S508" s="23"/>
    </row>
    <row r="509">
      <c r="B509" s="23"/>
      <c r="C509" s="23"/>
      <c r="E509" s="24"/>
      <c r="G509" s="23"/>
      <c r="H509" s="23"/>
      <c r="I509" s="23"/>
      <c r="J509" s="23"/>
      <c r="K509" s="23"/>
      <c r="L509" s="23"/>
      <c r="M509" s="23"/>
      <c r="N509" s="23"/>
      <c r="O509" s="23"/>
      <c r="Q509" s="23"/>
      <c r="S509" s="23"/>
    </row>
    <row r="510">
      <c r="B510" s="23"/>
      <c r="C510" s="23"/>
      <c r="E510" s="24"/>
      <c r="G510" s="23"/>
      <c r="H510" s="23"/>
      <c r="I510" s="23"/>
      <c r="J510" s="23"/>
      <c r="K510" s="23"/>
      <c r="L510" s="23"/>
      <c r="M510" s="23"/>
      <c r="N510" s="23"/>
      <c r="O510" s="23"/>
      <c r="Q510" s="23"/>
      <c r="S510" s="23"/>
    </row>
    <row r="511">
      <c r="B511" s="23"/>
      <c r="C511" s="23"/>
      <c r="E511" s="24"/>
      <c r="G511" s="23"/>
      <c r="H511" s="23"/>
      <c r="I511" s="23"/>
      <c r="J511" s="23"/>
      <c r="K511" s="23"/>
      <c r="L511" s="23"/>
      <c r="M511" s="23"/>
      <c r="N511" s="23"/>
      <c r="O511" s="23"/>
      <c r="Q511" s="23"/>
      <c r="S511" s="23"/>
    </row>
    <row r="512">
      <c r="B512" s="23"/>
      <c r="C512" s="23"/>
      <c r="E512" s="24"/>
      <c r="G512" s="23"/>
      <c r="H512" s="23"/>
      <c r="I512" s="23"/>
      <c r="J512" s="23"/>
      <c r="K512" s="23"/>
      <c r="L512" s="23"/>
      <c r="M512" s="23"/>
      <c r="N512" s="23"/>
      <c r="O512" s="23"/>
      <c r="Q512" s="23"/>
      <c r="S512" s="23"/>
    </row>
    <row r="513">
      <c r="B513" s="23"/>
      <c r="C513" s="23"/>
      <c r="E513" s="24"/>
      <c r="G513" s="23"/>
      <c r="H513" s="23"/>
      <c r="I513" s="23"/>
      <c r="J513" s="23"/>
      <c r="K513" s="23"/>
      <c r="L513" s="23"/>
      <c r="M513" s="23"/>
      <c r="N513" s="23"/>
      <c r="O513" s="23"/>
      <c r="Q513" s="23"/>
      <c r="S513" s="23"/>
    </row>
    <row r="514">
      <c r="B514" s="23"/>
      <c r="C514" s="23"/>
      <c r="E514" s="24"/>
      <c r="G514" s="23"/>
      <c r="H514" s="23"/>
      <c r="I514" s="23"/>
      <c r="J514" s="23"/>
      <c r="K514" s="23"/>
      <c r="L514" s="23"/>
      <c r="M514" s="23"/>
      <c r="N514" s="23"/>
      <c r="O514" s="23"/>
      <c r="Q514" s="23"/>
      <c r="S514" s="23"/>
    </row>
    <row r="515">
      <c r="B515" s="23"/>
      <c r="C515" s="23"/>
      <c r="E515" s="24"/>
      <c r="G515" s="23"/>
      <c r="H515" s="23"/>
      <c r="I515" s="23"/>
      <c r="J515" s="23"/>
      <c r="K515" s="23"/>
      <c r="L515" s="23"/>
      <c r="M515" s="23"/>
      <c r="N515" s="23"/>
      <c r="O515" s="23"/>
      <c r="Q515" s="23"/>
      <c r="S515" s="23"/>
    </row>
    <row r="516">
      <c r="B516" s="23"/>
      <c r="C516" s="23"/>
      <c r="E516" s="24"/>
      <c r="G516" s="23"/>
      <c r="H516" s="23"/>
      <c r="I516" s="23"/>
      <c r="J516" s="23"/>
      <c r="K516" s="23"/>
      <c r="L516" s="23"/>
      <c r="M516" s="23"/>
      <c r="N516" s="23"/>
      <c r="O516" s="23"/>
      <c r="Q516" s="23"/>
      <c r="S516" s="23"/>
    </row>
    <row r="517">
      <c r="B517" s="23"/>
      <c r="C517" s="23"/>
      <c r="E517" s="24"/>
      <c r="G517" s="23"/>
      <c r="H517" s="23"/>
      <c r="I517" s="23"/>
      <c r="J517" s="23"/>
      <c r="K517" s="23"/>
      <c r="L517" s="23"/>
      <c r="M517" s="23"/>
      <c r="N517" s="23"/>
      <c r="O517" s="23"/>
      <c r="Q517" s="23"/>
      <c r="S517" s="23"/>
    </row>
    <row r="518">
      <c r="B518" s="23"/>
      <c r="C518" s="23"/>
      <c r="E518" s="24"/>
      <c r="G518" s="23"/>
      <c r="H518" s="23"/>
      <c r="I518" s="23"/>
      <c r="J518" s="23"/>
      <c r="K518" s="23"/>
      <c r="L518" s="23"/>
      <c r="M518" s="23"/>
      <c r="N518" s="23"/>
      <c r="O518" s="23"/>
      <c r="Q518" s="23"/>
      <c r="S518" s="23"/>
    </row>
    <row r="519">
      <c r="B519" s="23"/>
      <c r="C519" s="23"/>
      <c r="E519" s="24"/>
      <c r="G519" s="23"/>
      <c r="H519" s="23"/>
      <c r="I519" s="23"/>
      <c r="J519" s="23"/>
      <c r="K519" s="23"/>
      <c r="L519" s="23"/>
      <c r="M519" s="23"/>
      <c r="N519" s="23"/>
      <c r="O519" s="23"/>
      <c r="Q519" s="23"/>
      <c r="S519" s="23"/>
    </row>
    <row r="520">
      <c r="B520" s="23"/>
      <c r="C520" s="23"/>
      <c r="E520" s="24"/>
      <c r="G520" s="23"/>
      <c r="H520" s="23"/>
      <c r="I520" s="23"/>
      <c r="J520" s="23"/>
      <c r="K520" s="23"/>
      <c r="L520" s="23"/>
      <c r="M520" s="23"/>
      <c r="N520" s="23"/>
      <c r="O520" s="23"/>
      <c r="Q520" s="23"/>
      <c r="S520" s="23"/>
    </row>
    <row r="521">
      <c r="B521" s="23"/>
      <c r="C521" s="23"/>
      <c r="E521" s="24"/>
      <c r="G521" s="23"/>
      <c r="H521" s="23"/>
      <c r="I521" s="23"/>
      <c r="J521" s="23"/>
      <c r="K521" s="23"/>
      <c r="L521" s="23"/>
      <c r="M521" s="23"/>
      <c r="N521" s="23"/>
      <c r="O521" s="23"/>
      <c r="Q521" s="23"/>
      <c r="S521" s="23"/>
    </row>
    <row r="522">
      <c r="B522" s="23"/>
      <c r="C522" s="23"/>
      <c r="E522" s="24"/>
      <c r="G522" s="23"/>
      <c r="H522" s="23"/>
      <c r="I522" s="23"/>
      <c r="J522" s="23"/>
      <c r="K522" s="23"/>
      <c r="L522" s="23"/>
      <c r="M522" s="23"/>
      <c r="N522" s="23"/>
      <c r="O522" s="23"/>
      <c r="Q522" s="23"/>
      <c r="S522" s="23"/>
    </row>
    <row r="523">
      <c r="B523" s="23"/>
      <c r="C523" s="23"/>
      <c r="E523" s="24"/>
      <c r="G523" s="23"/>
      <c r="H523" s="23"/>
      <c r="I523" s="23"/>
      <c r="J523" s="23"/>
      <c r="K523" s="23"/>
      <c r="L523" s="23"/>
      <c r="M523" s="23"/>
      <c r="N523" s="23"/>
      <c r="O523" s="23"/>
      <c r="Q523" s="23"/>
      <c r="S523" s="23"/>
    </row>
    <row r="524">
      <c r="B524" s="23"/>
      <c r="C524" s="23"/>
      <c r="E524" s="24"/>
      <c r="G524" s="23"/>
      <c r="H524" s="23"/>
      <c r="I524" s="23"/>
      <c r="J524" s="23"/>
      <c r="K524" s="23"/>
      <c r="L524" s="23"/>
      <c r="M524" s="23"/>
      <c r="N524" s="23"/>
      <c r="O524" s="23"/>
      <c r="Q524" s="23"/>
      <c r="S524" s="23"/>
    </row>
    <row r="525">
      <c r="B525" s="23"/>
      <c r="C525" s="23"/>
      <c r="E525" s="24"/>
      <c r="G525" s="23"/>
      <c r="H525" s="23"/>
      <c r="I525" s="23"/>
      <c r="J525" s="23"/>
      <c r="K525" s="23"/>
      <c r="L525" s="23"/>
      <c r="M525" s="23"/>
      <c r="N525" s="23"/>
      <c r="O525" s="23"/>
      <c r="Q525" s="23"/>
      <c r="S525" s="23"/>
    </row>
    <row r="526">
      <c r="B526" s="23"/>
      <c r="C526" s="23"/>
      <c r="E526" s="24"/>
      <c r="G526" s="23"/>
      <c r="H526" s="23"/>
      <c r="I526" s="23"/>
      <c r="J526" s="23"/>
      <c r="K526" s="23"/>
      <c r="L526" s="23"/>
      <c r="M526" s="23"/>
      <c r="N526" s="23"/>
      <c r="O526" s="23"/>
      <c r="Q526" s="23"/>
      <c r="S526" s="23"/>
    </row>
    <row r="527">
      <c r="B527" s="23"/>
      <c r="C527" s="23"/>
      <c r="E527" s="24"/>
      <c r="G527" s="23"/>
      <c r="H527" s="23"/>
      <c r="I527" s="23"/>
      <c r="J527" s="23"/>
      <c r="K527" s="23"/>
      <c r="L527" s="23"/>
      <c r="M527" s="23"/>
      <c r="N527" s="23"/>
      <c r="O527" s="23"/>
      <c r="Q527" s="23"/>
      <c r="S527" s="23"/>
    </row>
    <row r="528">
      <c r="B528" s="23"/>
      <c r="C528" s="23"/>
      <c r="E528" s="24"/>
      <c r="G528" s="23"/>
      <c r="H528" s="23"/>
      <c r="I528" s="23"/>
      <c r="J528" s="23"/>
      <c r="K528" s="23"/>
      <c r="L528" s="23"/>
      <c r="M528" s="23"/>
      <c r="N528" s="23"/>
      <c r="O528" s="23"/>
      <c r="Q528" s="23"/>
      <c r="S528" s="23"/>
    </row>
    <row r="529">
      <c r="B529" s="23"/>
      <c r="C529" s="23"/>
      <c r="E529" s="24"/>
      <c r="G529" s="23"/>
      <c r="H529" s="23"/>
      <c r="I529" s="23"/>
      <c r="J529" s="23"/>
      <c r="K529" s="23"/>
      <c r="L529" s="23"/>
      <c r="M529" s="23"/>
      <c r="N529" s="23"/>
      <c r="O529" s="23"/>
      <c r="Q529" s="23"/>
      <c r="S529" s="23"/>
    </row>
    <row r="530">
      <c r="B530" s="23"/>
      <c r="C530" s="23"/>
      <c r="E530" s="24"/>
      <c r="G530" s="23"/>
      <c r="H530" s="23"/>
      <c r="I530" s="23"/>
      <c r="J530" s="23"/>
      <c r="K530" s="23"/>
      <c r="L530" s="23"/>
      <c r="M530" s="23"/>
      <c r="N530" s="23"/>
      <c r="O530" s="23"/>
      <c r="Q530" s="23"/>
      <c r="S530" s="23"/>
    </row>
    <row r="531">
      <c r="B531" s="23"/>
      <c r="C531" s="23"/>
      <c r="E531" s="24"/>
      <c r="G531" s="23"/>
      <c r="H531" s="23"/>
      <c r="I531" s="23"/>
      <c r="J531" s="23"/>
      <c r="K531" s="23"/>
      <c r="L531" s="23"/>
      <c r="M531" s="23"/>
      <c r="N531" s="23"/>
      <c r="O531" s="23"/>
      <c r="Q531" s="23"/>
      <c r="S531" s="23"/>
    </row>
    <row r="532">
      <c r="B532" s="23"/>
      <c r="C532" s="23"/>
      <c r="E532" s="24"/>
      <c r="G532" s="23"/>
      <c r="H532" s="23"/>
      <c r="I532" s="23"/>
      <c r="J532" s="23"/>
      <c r="K532" s="23"/>
      <c r="L532" s="23"/>
      <c r="M532" s="23"/>
      <c r="N532" s="23"/>
      <c r="O532" s="23"/>
      <c r="Q532" s="23"/>
      <c r="S532" s="23"/>
    </row>
    <row r="533">
      <c r="B533" s="23"/>
      <c r="C533" s="23"/>
      <c r="E533" s="24"/>
      <c r="G533" s="23"/>
      <c r="H533" s="23"/>
      <c r="I533" s="23"/>
      <c r="J533" s="23"/>
      <c r="K533" s="23"/>
      <c r="L533" s="23"/>
      <c r="M533" s="23"/>
      <c r="N533" s="23"/>
      <c r="O533" s="23"/>
      <c r="Q533" s="23"/>
      <c r="S533" s="23"/>
    </row>
    <row r="534">
      <c r="B534" s="23"/>
      <c r="C534" s="23"/>
      <c r="E534" s="24"/>
      <c r="G534" s="23"/>
      <c r="H534" s="23"/>
      <c r="I534" s="23"/>
      <c r="J534" s="23"/>
      <c r="K534" s="23"/>
      <c r="L534" s="23"/>
      <c r="M534" s="23"/>
      <c r="N534" s="23"/>
      <c r="O534" s="23"/>
      <c r="Q534" s="23"/>
      <c r="S534" s="23"/>
    </row>
    <row r="535">
      <c r="B535" s="23"/>
      <c r="C535" s="23"/>
      <c r="E535" s="24"/>
      <c r="G535" s="23"/>
      <c r="H535" s="23"/>
      <c r="I535" s="23"/>
      <c r="J535" s="23"/>
      <c r="K535" s="23"/>
      <c r="L535" s="23"/>
      <c r="M535" s="23"/>
      <c r="N535" s="23"/>
      <c r="O535" s="23"/>
      <c r="Q535" s="23"/>
      <c r="S535" s="23"/>
    </row>
    <row r="536">
      <c r="B536" s="23"/>
      <c r="C536" s="23"/>
      <c r="E536" s="24"/>
      <c r="G536" s="23"/>
      <c r="H536" s="23"/>
      <c r="I536" s="23"/>
      <c r="J536" s="23"/>
      <c r="K536" s="23"/>
      <c r="L536" s="23"/>
      <c r="M536" s="23"/>
      <c r="N536" s="23"/>
      <c r="O536" s="23"/>
      <c r="Q536" s="23"/>
      <c r="S536" s="23"/>
    </row>
    <row r="537">
      <c r="B537" s="23"/>
      <c r="C537" s="23"/>
      <c r="E537" s="24"/>
      <c r="G537" s="23"/>
      <c r="H537" s="23"/>
      <c r="I537" s="23"/>
      <c r="J537" s="23"/>
      <c r="K537" s="23"/>
      <c r="L537" s="23"/>
      <c r="M537" s="23"/>
      <c r="N537" s="23"/>
      <c r="O537" s="23"/>
      <c r="Q537" s="23"/>
      <c r="S537" s="23"/>
    </row>
    <row r="538">
      <c r="B538" s="23"/>
      <c r="C538" s="23"/>
      <c r="E538" s="24"/>
      <c r="G538" s="23"/>
      <c r="H538" s="23"/>
      <c r="I538" s="23"/>
      <c r="J538" s="23"/>
      <c r="K538" s="23"/>
      <c r="L538" s="23"/>
      <c r="M538" s="23"/>
      <c r="N538" s="23"/>
      <c r="O538" s="23"/>
      <c r="Q538" s="23"/>
      <c r="S538" s="23"/>
    </row>
    <row r="539">
      <c r="B539" s="23"/>
      <c r="C539" s="23"/>
      <c r="E539" s="24"/>
      <c r="G539" s="23"/>
      <c r="H539" s="23"/>
      <c r="I539" s="23"/>
      <c r="J539" s="23"/>
      <c r="K539" s="23"/>
      <c r="L539" s="23"/>
      <c r="M539" s="23"/>
      <c r="N539" s="23"/>
      <c r="O539" s="23"/>
      <c r="Q539" s="23"/>
      <c r="S539" s="23"/>
    </row>
    <row r="540">
      <c r="B540" s="23"/>
      <c r="C540" s="23"/>
      <c r="E540" s="24"/>
      <c r="G540" s="23"/>
      <c r="H540" s="23"/>
      <c r="I540" s="23"/>
      <c r="J540" s="23"/>
      <c r="K540" s="23"/>
      <c r="L540" s="23"/>
      <c r="M540" s="23"/>
      <c r="N540" s="23"/>
      <c r="O540" s="23"/>
      <c r="Q540" s="23"/>
      <c r="S540" s="23"/>
    </row>
    <row r="541">
      <c r="B541" s="23"/>
      <c r="C541" s="23"/>
      <c r="E541" s="24"/>
      <c r="G541" s="23"/>
      <c r="H541" s="23"/>
      <c r="I541" s="23"/>
      <c r="J541" s="23"/>
      <c r="K541" s="23"/>
      <c r="L541" s="23"/>
      <c r="M541" s="23"/>
      <c r="N541" s="23"/>
      <c r="O541" s="23"/>
      <c r="Q541" s="23"/>
      <c r="S541" s="23"/>
    </row>
    <row r="542">
      <c r="B542" s="23"/>
      <c r="C542" s="23"/>
      <c r="E542" s="24"/>
      <c r="G542" s="23"/>
      <c r="H542" s="23"/>
      <c r="I542" s="23"/>
      <c r="J542" s="23"/>
      <c r="K542" s="23"/>
      <c r="L542" s="23"/>
      <c r="M542" s="23"/>
      <c r="N542" s="23"/>
      <c r="O542" s="23"/>
      <c r="Q542" s="23"/>
      <c r="S542" s="23"/>
    </row>
    <row r="543">
      <c r="B543" s="23"/>
      <c r="C543" s="23"/>
      <c r="E543" s="24"/>
      <c r="G543" s="23"/>
      <c r="H543" s="23"/>
      <c r="I543" s="23"/>
      <c r="J543" s="23"/>
      <c r="K543" s="23"/>
      <c r="L543" s="23"/>
      <c r="M543" s="23"/>
      <c r="N543" s="23"/>
      <c r="O543" s="23"/>
      <c r="Q543" s="23"/>
      <c r="S543" s="23"/>
    </row>
    <row r="544">
      <c r="B544" s="23"/>
      <c r="C544" s="23"/>
      <c r="E544" s="24"/>
      <c r="G544" s="23"/>
      <c r="H544" s="23"/>
      <c r="I544" s="23"/>
      <c r="J544" s="23"/>
      <c r="K544" s="23"/>
      <c r="L544" s="23"/>
      <c r="M544" s="23"/>
      <c r="N544" s="23"/>
      <c r="O544" s="23"/>
      <c r="Q544" s="23"/>
      <c r="S544" s="23"/>
    </row>
    <row r="545">
      <c r="B545" s="23"/>
      <c r="C545" s="23"/>
      <c r="E545" s="24"/>
      <c r="G545" s="23"/>
      <c r="H545" s="23"/>
      <c r="I545" s="23"/>
      <c r="J545" s="23"/>
      <c r="K545" s="23"/>
      <c r="L545" s="23"/>
      <c r="M545" s="23"/>
      <c r="N545" s="23"/>
      <c r="O545" s="23"/>
      <c r="Q545" s="23"/>
      <c r="S545" s="23"/>
    </row>
    <row r="546">
      <c r="B546" s="23"/>
      <c r="C546" s="23"/>
      <c r="E546" s="24"/>
      <c r="G546" s="23"/>
      <c r="H546" s="23"/>
      <c r="I546" s="23"/>
      <c r="J546" s="23"/>
      <c r="K546" s="23"/>
      <c r="L546" s="23"/>
      <c r="M546" s="23"/>
      <c r="N546" s="23"/>
      <c r="O546" s="23"/>
      <c r="Q546" s="23"/>
      <c r="S546" s="23"/>
    </row>
    <row r="547">
      <c r="B547" s="23"/>
      <c r="C547" s="23"/>
      <c r="E547" s="24"/>
      <c r="G547" s="23"/>
      <c r="H547" s="23"/>
      <c r="I547" s="23"/>
      <c r="J547" s="23"/>
      <c r="K547" s="23"/>
      <c r="L547" s="23"/>
      <c r="M547" s="23"/>
      <c r="N547" s="23"/>
      <c r="O547" s="23"/>
      <c r="Q547" s="23"/>
      <c r="S547" s="23"/>
    </row>
    <row r="548">
      <c r="B548" s="23"/>
      <c r="C548" s="23"/>
      <c r="E548" s="24"/>
      <c r="G548" s="23"/>
      <c r="H548" s="23"/>
      <c r="I548" s="23"/>
      <c r="J548" s="23"/>
      <c r="K548" s="23"/>
      <c r="L548" s="23"/>
      <c r="M548" s="23"/>
      <c r="N548" s="23"/>
      <c r="O548" s="23"/>
      <c r="Q548" s="23"/>
      <c r="S548" s="23"/>
    </row>
    <row r="549">
      <c r="B549" s="23"/>
      <c r="C549" s="23"/>
      <c r="E549" s="24"/>
      <c r="G549" s="23"/>
      <c r="H549" s="23"/>
      <c r="I549" s="23"/>
      <c r="J549" s="23"/>
      <c r="K549" s="23"/>
      <c r="L549" s="23"/>
      <c r="M549" s="23"/>
      <c r="N549" s="23"/>
      <c r="O549" s="23"/>
      <c r="Q549" s="23"/>
      <c r="S549" s="23"/>
    </row>
    <row r="550">
      <c r="B550" s="23"/>
      <c r="C550" s="23"/>
      <c r="E550" s="24"/>
      <c r="G550" s="23"/>
      <c r="H550" s="23"/>
      <c r="I550" s="23"/>
      <c r="J550" s="23"/>
      <c r="K550" s="23"/>
      <c r="L550" s="23"/>
      <c r="M550" s="23"/>
      <c r="N550" s="23"/>
      <c r="O550" s="23"/>
      <c r="Q550" s="23"/>
      <c r="S550" s="23"/>
    </row>
    <row r="551">
      <c r="B551" s="23"/>
      <c r="C551" s="23"/>
      <c r="E551" s="24"/>
      <c r="G551" s="23"/>
      <c r="H551" s="23"/>
      <c r="I551" s="23"/>
      <c r="J551" s="23"/>
      <c r="K551" s="23"/>
      <c r="L551" s="23"/>
      <c r="M551" s="23"/>
      <c r="N551" s="23"/>
      <c r="O551" s="23"/>
      <c r="Q551" s="23"/>
      <c r="S551" s="23"/>
    </row>
    <row r="552">
      <c r="B552" s="23"/>
      <c r="C552" s="23"/>
      <c r="E552" s="24"/>
      <c r="G552" s="23"/>
      <c r="H552" s="23"/>
      <c r="I552" s="23"/>
      <c r="J552" s="23"/>
      <c r="K552" s="23"/>
      <c r="L552" s="23"/>
      <c r="M552" s="23"/>
      <c r="N552" s="23"/>
      <c r="O552" s="23"/>
      <c r="Q552" s="23"/>
      <c r="S552" s="23"/>
    </row>
    <row r="553">
      <c r="B553" s="23"/>
      <c r="C553" s="23"/>
      <c r="E553" s="24"/>
      <c r="G553" s="23"/>
      <c r="H553" s="23"/>
      <c r="I553" s="23"/>
      <c r="J553" s="23"/>
      <c r="K553" s="23"/>
      <c r="L553" s="23"/>
      <c r="M553" s="23"/>
      <c r="N553" s="23"/>
      <c r="O553" s="23"/>
      <c r="Q553" s="23"/>
      <c r="S553" s="23"/>
    </row>
    <row r="554">
      <c r="B554" s="23"/>
      <c r="C554" s="23"/>
      <c r="E554" s="24"/>
      <c r="G554" s="23"/>
      <c r="H554" s="23"/>
      <c r="I554" s="23"/>
      <c r="J554" s="23"/>
      <c r="K554" s="23"/>
      <c r="L554" s="23"/>
      <c r="M554" s="23"/>
      <c r="N554" s="23"/>
      <c r="O554" s="23"/>
      <c r="Q554" s="23"/>
      <c r="S554" s="23"/>
    </row>
    <row r="555">
      <c r="B555" s="23"/>
      <c r="C555" s="23"/>
      <c r="E555" s="24"/>
      <c r="G555" s="23"/>
      <c r="H555" s="23"/>
      <c r="I555" s="23"/>
      <c r="J555" s="23"/>
      <c r="K555" s="23"/>
      <c r="L555" s="23"/>
      <c r="M555" s="23"/>
      <c r="N555" s="23"/>
      <c r="O555" s="23"/>
      <c r="Q555" s="23"/>
      <c r="S555" s="23"/>
    </row>
    <row r="556">
      <c r="B556" s="23"/>
      <c r="C556" s="23"/>
      <c r="E556" s="24"/>
      <c r="G556" s="23"/>
      <c r="H556" s="23"/>
      <c r="I556" s="23"/>
      <c r="J556" s="23"/>
      <c r="K556" s="23"/>
      <c r="L556" s="23"/>
      <c r="M556" s="23"/>
      <c r="N556" s="23"/>
      <c r="O556" s="23"/>
      <c r="Q556" s="23"/>
      <c r="S556" s="23"/>
    </row>
    <row r="557">
      <c r="B557" s="23"/>
      <c r="C557" s="23"/>
      <c r="E557" s="24"/>
      <c r="G557" s="23"/>
      <c r="H557" s="23"/>
      <c r="I557" s="23"/>
      <c r="J557" s="23"/>
      <c r="K557" s="23"/>
      <c r="L557" s="23"/>
      <c r="M557" s="23"/>
      <c r="N557" s="23"/>
      <c r="O557" s="23"/>
      <c r="Q557" s="23"/>
      <c r="S557" s="23"/>
    </row>
    <row r="558">
      <c r="B558" s="23"/>
      <c r="C558" s="23"/>
      <c r="E558" s="24"/>
      <c r="G558" s="23"/>
      <c r="H558" s="23"/>
      <c r="I558" s="23"/>
      <c r="J558" s="23"/>
      <c r="K558" s="23"/>
      <c r="L558" s="23"/>
      <c r="M558" s="23"/>
      <c r="N558" s="23"/>
      <c r="O558" s="23"/>
      <c r="Q558" s="23"/>
      <c r="S558" s="23"/>
    </row>
    <row r="559">
      <c r="B559" s="23"/>
      <c r="C559" s="23"/>
      <c r="E559" s="24"/>
      <c r="G559" s="23"/>
      <c r="H559" s="23"/>
      <c r="I559" s="23"/>
      <c r="J559" s="23"/>
      <c r="K559" s="23"/>
      <c r="L559" s="23"/>
      <c r="M559" s="23"/>
      <c r="N559" s="23"/>
      <c r="O559" s="23"/>
      <c r="Q559" s="23"/>
      <c r="S559" s="23"/>
    </row>
    <row r="560">
      <c r="B560" s="23"/>
      <c r="C560" s="23"/>
      <c r="E560" s="24"/>
      <c r="G560" s="23"/>
      <c r="H560" s="23"/>
      <c r="I560" s="23"/>
      <c r="J560" s="23"/>
      <c r="K560" s="23"/>
      <c r="L560" s="23"/>
      <c r="M560" s="23"/>
      <c r="N560" s="23"/>
      <c r="O560" s="23"/>
      <c r="Q560" s="23"/>
      <c r="S560" s="23"/>
    </row>
    <row r="561">
      <c r="B561" s="23"/>
      <c r="C561" s="23"/>
      <c r="E561" s="24"/>
      <c r="G561" s="23"/>
      <c r="H561" s="23"/>
      <c r="I561" s="23"/>
      <c r="J561" s="23"/>
      <c r="K561" s="23"/>
      <c r="L561" s="23"/>
      <c r="M561" s="23"/>
      <c r="N561" s="23"/>
      <c r="O561" s="23"/>
      <c r="Q561" s="23"/>
      <c r="S561" s="23"/>
    </row>
    <row r="562">
      <c r="B562" s="23"/>
      <c r="C562" s="23"/>
      <c r="E562" s="24"/>
      <c r="G562" s="23"/>
      <c r="H562" s="23"/>
      <c r="I562" s="23"/>
      <c r="J562" s="23"/>
      <c r="K562" s="23"/>
      <c r="L562" s="23"/>
      <c r="M562" s="23"/>
      <c r="N562" s="23"/>
      <c r="O562" s="23"/>
      <c r="Q562" s="23"/>
      <c r="S562" s="23"/>
    </row>
    <row r="563">
      <c r="B563" s="23"/>
      <c r="C563" s="23"/>
      <c r="E563" s="24"/>
      <c r="G563" s="23"/>
      <c r="H563" s="23"/>
      <c r="I563" s="23"/>
      <c r="J563" s="23"/>
      <c r="K563" s="23"/>
      <c r="L563" s="23"/>
      <c r="M563" s="23"/>
      <c r="N563" s="23"/>
      <c r="O563" s="23"/>
      <c r="Q563" s="23"/>
      <c r="S563" s="23"/>
    </row>
    <row r="564">
      <c r="B564" s="23"/>
      <c r="C564" s="23"/>
      <c r="E564" s="24"/>
      <c r="G564" s="23"/>
      <c r="H564" s="23"/>
      <c r="I564" s="23"/>
      <c r="J564" s="23"/>
      <c r="K564" s="23"/>
      <c r="L564" s="23"/>
      <c r="M564" s="23"/>
      <c r="N564" s="23"/>
      <c r="O564" s="23"/>
      <c r="Q564" s="23"/>
      <c r="S564" s="23"/>
    </row>
    <row r="565">
      <c r="B565" s="23"/>
      <c r="C565" s="23"/>
      <c r="E565" s="24"/>
      <c r="G565" s="23"/>
      <c r="H565" s="23"/>
      <c r="I565" s="23"/>
      <c r="J565" s="23"/>
      <c r="K565" s="23"/>
      <c r="L565" s="23"/>
      <c r="M565" s="23"/>
      <c r="N565" s="23"/>
      <c r="O565" s="23"/>
      <c r="Q565" s="23"/>
      <c r="S565" s="23"/>
    </row>
    <row r="566">
      <c r="B566" s="23"/>
      <c r="C566" s="23"/>
      <c r="E566" s="24"/>
      <c r="G566" s="23"/>
      <c r="H566" s="23"/>
      <c r="I566" s="23"/>
      <c r="J566" s="23"/>
      <c r="K566" s="23"/>
      <c r="L566" s="23"/>
      <c r="M566" s="23"/>
      <c r="N566" s="23"/>
      <c r="O566" s="23"/>
      <c r="Q566" s="23"/>
      <c r="S566" s="23"/>
    </row>
    <row r="567">
      <c r="B567" s="23"/>
      <c r="C567" s="23"/>
      <c r="E567" s="24"/>
      <c r="G567" s="23"/>
      <c r="H567" s="23"/>
      <c r="I567" s="23"/>
      <c r="J567" s="23"/>
      <c r="K567" s="23"/>
      <c r="L567" s="23"/>
      <c r="M567" s="23"/>
      <c r="N567" s="23"/>
      <c r="O567" s="23"/>
      <c r="Q567" s="23"/>
      <c r="S567" s="23"/>
    </row>
    <row r="568">
      <c r="B568" s="23"/>
      <c r="C568" s="23"/>
      <c r="E568" s="24"/>
      <c r="G568" s="23"/>
      <c r="H568" s="23"/>
      <c r="I568" s="23"/>
      <c r="J568" s="23"/>
      <c r="K568" s="23"/>
      <c r="L568" s="23"/>
      <c r="M568" s="23"/>
      <c r="N568" s="23"/>
      <c r="O568" s="23"/>
      <c r="Q568" s="23"/>
      <c r="S568" s="23"/>
    </row>
    <row r="569">
      <c r="B569" s="23"/>
      <c r="C569" s="23"/>
      <c r="E569" s="24"/>
      <c r="G569" s="23"/>
      <c r="H569" s="23"/>
      <c r="I569" s="23"/>
      <c r="J569" s="23"/>
      <c r="K569" s="23"/>
      <c r="L569" s="23"/>
      <c r="M569" s="23"/>
      <c r="N569" s="23"/>
      <c r="O569" s="23"/>
      <c r="Q569" s="23"/>
      <c r="S569" s="23"/>
    </row>
    <row r="570">
      <c r="B570" s="23"/>
      <c r="C570" s="23"/>
      <c r="E570" s="24"/>
      <c r="G570" s="23"/>
      <c r="H570" s="23"/>
      <c r="I570" s="23"/>
      <c r="J570" s="23"/>
      <c r="K570" s="23"/>
      <c r="L570" s="23"/>
      <c r="M570" s="23"/>
      <c r="N570" s="23"/>
      <c r="O570" s="23"/>
      <c r="Q570" s="23"/>
      <c r="S570" s="23"/>
    </row>
    <row r="571">
      <c r="B571" s="23"/>
      <c r="C571" s="23"/>
      <c r="E571" s="24"/>
      <c r="G571" s="23"/>
      <c r="H571" s="23"/>
      <c r="I571" s="23"/>
      <c r="J571" s="23"/>
      <c r="K571" s="23"/>
      <c r="L571" s="23"/>
      <c r="M571" s="23"/>
      <c r="N571" s="23"/>
      <c r="O571" s="23"/>
      <c r="Q571" s="23"/>
      <c r="S571" s="23"/>
    </row>
    <row r="572">
      <c r="B572" s="23"/>
      <c r="C572" s="23"/>
      <c r="E572" s="24"/>
      <c r="G572" s="23"/>
      <c r="H572" s="23"/>
      <c r="I572" s="23"/>
      <c r="J572" s="23"/>
      <c r="K572" s="23"/>
      <c r="L572" s="23"/>
      <c r="M572" s="23"/>
      <c r="N572" s="23"/>
      <c r="O572" s="23"/>
      <c r="Q572" s="23"/>
      <c r="S572" s="23"/>
    </row>
    <row r="573">
      <c r="B573" s="23"/>
      <c r="C573" s="23"/>
      <c r="E573" s="24"/>
      <c r="G573" s="23"/>
      <c r="H573" s="23"/>
      <c r="I573" s="23"/>
      <c r="J573" s="23"/>
      <c r="K573" s="23"/>
      <c r="L573" s="23"/>
      <c r="M573" s="23"/>
      <c r="N573" s="23"/>
      <c r="O573" s="23"/>
      <c r="Q573" s="23"/>
      <c r="S573" s="23"/>
    </row>
    <row r="574">
      <c r="B574" s="23"/>
      <c r="C574" s="23"/>
      <c r="E574" s="24"/>
      <c r="G574" s="23"/>
      <c r="H574" s="23"/>
      <c r="I574" s="23"/>
      <c r="J574" s="23"/>
      <c r="K574" s="23"/>
      <c r="L574" s="23"/>
      <c r="M574" s="23"/>
      <c r="N574" s="23"/>
      <c r="O574" s="23"/>
      <c r="Q574" s="23"/>
      <c r="S574" s="23"/>
    </row>
    <row r="575">
      <c r="B575" s="23"/>
      <c r="C575" s="23"/>
      <c r="E575" s="24"/>
      <c r="G575" s="23"/>
      <c r="H575" s="23"/>
      <c r="I575" s="23"/>
      <c r="J575" s="23"/>
      <c r="K575" s="23"/>
      <c r="L575" s="23"/>
      <c r="M575" s="23"/>
      <c r="N575" s="23"/>
      <c r="O575" s="23"/>
      <c r="Q575" s="23"/>
      <c r="S575" s="23"/>
    </row>
    <row r="576">
      <c r="B576" s="23"/>
      <c r="C576" s="23"/>
      <c r="E576" s="24"/>
      <c r="G576" s="23"/>
      <c r="H576" s="23"/>
      <c r="I576" s="23"/>
      <c r="J576" s="23"/>
      <c r="K576" s="23"/>
      <c r="L576" s="23"/>
      <c r="M576" s="23"/>
      <c r="N576" s="23"/>
      <c r="O576" s="23"/>
      <c r="Q576" s="23"/>
      <c r="S576" s="23"/>
    </row>
    <row r="577">
      <c r="B577" s="23"/>
      <c r="C577" s="23"/>
      <c r="E577" s="24"/>
      <c r="G577" s="23"/>
      <c r="H577" s="23"/>
      <c r="I577" s="23"/>
      <c r="J577" s="23"/>
      <c r="K577" s="23"/>
      <c r="L577" s="23"/>
      <c r="M577" s="23"/>
      <c r="N577" s="23"/>
      <c r="O577" s="23"/>
      <c r="Q577" s="23"/>
      <c r="S577" s="23"/>
    </row>
    <row r="578">
      <c r="B578" s="23"/>
      <c r="C578" s="23"/>
      <c r="E578" s="24"/>
      <c r="G578" s="23"/>
      <c r="H578" s="23"/>
      <c r="I578" s="23"/>
      <c r="J578" s="23"/>
      <c r="K578" s="23"/>
      <c r="L578" s="23"/>
      <c r="M578" s="23"/>
      <c r="N578" s="23"/>
      <c r="O578" s="23"/>
      <c r="Q578" s="23"/>
      <c r="S578" s="23"/>
    </row>
    <row r="579">
      <c r="B579" s="23"/>
      <c r="C579" s="23"/>
      <c r="E579" s="24"/>
      <c r="G579" s="23"/>
      <c r="H579" s="23"/>
      <c r="I579" s="23"/>
      <c r="J579" s="23"/>
      <c r="K579" s="23"/>
      <c r="L579" s="23"/>
      <c r="M579" s="23"/>
      <c r="N579" s="23"/>
      <c r="O579" s="23"/>
      <c r="Q579" s="23"/>
      <c r="S579" s="23"/>
    </row>
    <row r="580">
      <c r="B580" s="23"/>
      <c r="C580" s="23"/>
      <c r="E580" s="24"/>
      <c r="G580" s="23"/>
      <c r="H580" s="23"/>
      <c r="I580" s="23"/>
      <c r="J580" s="23"/>
      <c r="K580" s="23"/>
      <c r="L580" s="23"/>
      <c r="M580" s="23"/>
      <c r="N580" s="23"/>
      <c r="O580" s="23"/>
      <c r="Q580" s="23"/>
      <c r="S580" s="23"/>
    </row>
    <row r="581">
      <c r="B581" s="23"/>
      <c r="C581" s="23"/>
      <c r="E581" s="24"/>
      <c r="G581" s="23"/>
      <c r="H581" s="23"/>
      <c r="I581" s="23"/>
      <c r="J581" s="23"/>
      <c r="K581" s="23"/>
      <c r="L581" s="23"/>
      <c r="M581" s="23"/>
      <c r="N581" s="23"/>
      <c r="O581" s="23"/>
      <c r="Q581" s="23"/>
      <c r="S581" s="23"/>
    </row>
    <row r="582">
      <c r="B582" s="23"/>
      <c r="C582" s="23"/>
      <c r="E582" s="24"/>
      <c r="G582" s="23"/>
      <c r="H582" s="23"/>
      <c r="I582" s="23"/>
      <c r="J582" s="23"/>
      <c r="K582" s="23"/>
      <c r="L582" s="23"/>
      <c r="M582" s="23"/>
      <c r="N582" s="23"/>
      <c r="O582" s="23"/>
      <c r="Q582" s="23"/>
      <c r="S582" s="23"/>
    </row>
    <row r="583">
      <c r="B583" s="23"/>
      <c r="C583" s="23"/>
      <c r="E583" s="24"/>
      <c r="G583" s="23"/>
      <c r="H583" s="23"/>
      <c r="I583" s="23"/>
      <c r="J583" s="23"/>
      <c r="K583" s="23"/>
      <c r="L583" s="23"/>
      <c r="M583" s="23"/>
      <c r="N583" s="23"/>
      <c r="O583" s="23"/>
      <c r="Q583" s="23"/>
      <c r="S583" s="23"/>
    </row>
    <row r="584">
      <c r="B584" s="23"/>
      <c r="C584" s="23"/>
      <c r="E584" s="24"/>
      <c r="G584" s="23"/>
      <c r="H584" s="23"/>
      <c r="I584" s="23"/>
      <c r="J584" s="23"/>
      <c r="K584" s="23"/>
      <c r="L584" s="23"/>
      <c r="M584" s="23"/>
      <c r="N584" s="23"/>
      <c r="O584" s="23"/>
      <c r="Q584" s="23"/>
      <c r="S584" s="23"/>
    </row>
    <row r="585">
      <c r="B585" s="23"/>
      <c r="C585" s="23"/>
      <c r="E585" s="24"/>
      <c r="G585" s="23"/>
      <c r="H585" s="23"/>
      <c r="I585" s="23"/>
      <c r="J585" s="23"/>
      <c r="K585" s="23"/>
      <c r="L585" s="23"/>
      <c r="M585" s="23"/>
      <c r="N585" s="23"/>
      <c r="O585" s="23"/>
      <c r="Q585" s="23"/>
      <c r="S585" s="23"/>
    </row>
    <row r="586">
      <c r="B586" s="23"/>
      <c r="C586" s="23"/>
      <c r="E586" s="24"/>
      <c r="G586" s="23"/>
      <c r="H586" s="23"/>
      <c r="I586" s="23"/>
      <c r="J586" s="23"/>
      <c r="K586" s="23"/>
      <c r="L586" s="23"/>
      <c r="M586" s="23"/>
      <c r="N586" s="23"/>
      <c r="O586" s="23"/>
      <c r="Q586" s="23"/>
      <c r="S586" s="23"/>
    </row>
    <row r="587">
      <c r="B587" s="23"/>
      <c r="C587" s="23"/>
      <c r="E587" s="24"/>
      <c r="G587" s="23"/>
      <c r="H587" s="23"/>
      <c r="I587" s="23"/>
      <c r="J587" s="23"/>
      <c r="K587" s="23"/>
      <c r="L587" s="23"/>
      <c r="M587" s="23"/>
      <c r="N587" s="23"/>
      <c r="O587" s="23"/>
      <c r="Q587" s="23"/>
      <c r="S587" s="23"/>
    </row>
    <row r="588">
      <c r="B588" s="23"/>
      <c r="C588" s="23"/>
      <c r="E588" s="24"/>
      <c r="G588" s="23"/>
      <c r="H588" s="23"/>
      <c r="I588" s="23"/>
      <c r="J588" s="23"/>
      <c r="K588" s="23"/>
      <c r="L588" s="23"/>
      <c r="M588" s="23"/>
      <c r="N588" s="23"/>
      <c r="O588" s="23"/>
      <c r="Q588" s="23"/>
      <c r="S588" s="23"/>
    </row>
    <row r="589">
      <c r="B589" s="23"/>
      <c r="C589" s="23"/>
      <c r="E589" s="24"/>
      <c r="G589" s="23"/>
      <c r="H589" s="23"/>
      <c r="I589" s="23"/>
      <c r="J589" s="23"/>
      <c r="K589" s="23"/>
      <c r="L589" s="23"/>
      <c r="M589" s="23"/>
      <c r="N589" s="23"/>
      <c r="O589" s="23"/>
      <c r="Q589" s="23"/>
      <c r="S589" s="23"/>
    </row>
    <row r="590">
      <c r="B590" s="23"/>
      <c r="C590" s="23"/>
      <c r="E590" s="24"/>
      <c r="G590" s="23"/>
      <c r="H590" s="23"/>
      <c r="I590" s="23"/>
      <c r="J590" s="23"/>
      <c r="K590" s="23"/>
      <c r="L590" s="23"/>
      <c r="M590" s="23"/>
      <c r="N590" s="23"/>
      <c r="O590" s="23"/>
      <c r="Q590" s="23"/>
      <c r="S590" s="23"/>
    </row>
    <row r="591">
      <c r="B591" s="23"/>
      <c r="C591" s="23"/>
      <c r="E591" s="24"/>
      <c r="G591" s="23"/>
      <c r="H591" s="23"/>
      <c r="I591" s="23"/>
      <c r="J591" s="23"/>
      <c r="K591" s="23"/>
      <c r="L591" s="23"/>
      <c r="M591" s="23"/>
      <c r="N591" s="23"/>
      <c r="O591" s="23"/>
      <c r="Q591" s="23"/>
      <c r="S591" s="23"/>
    </row>
    <row r="592">
      <c r="B592" s="23"/>
      <c r="C592" s="23"/>
      <c r="E592" s="24"/>
      <c r="G592" s="23"/>
      <c r="H592" s="23"/>
      <c r="I592" s="23"/>
      <c r="J592" s="23"/>
      <c r="K592" s="23"/>
      <c r="L592" s="23"/>
      <c r="M592" s="23"/>
      <c r="N592" s="23"/>
      <c r="O592" s="23"/>
      <c r="Q592" s="23"/>
      <c r="S592" s="23"/>
    </row>
    <row r="593">
      <c r="B593" s="23"/>
      <c r="C593" s="23"/>
      <c r="E593" s="24"/>
      <c r="G593" s="23"/>
      <c r="H593" s="23"/>
      <c r="I593" s="23"/>
      <c r="J593" s="23"/>
      <c r="K593" s="23"/>
      <c r="L593" s="23"/>
      <c r="M593" s="23"/>
      <c r="N593" s="23"/>
      <c r="O593" s="23"/>
      <c r="Q593" s="23"/>
      <c r="S593" s="23"/>
    </row>
    <row r="594">
      <c r="B594" s="23"/>
      <c r="C594" s="23"/>
      <c r="E594" s="24"/>
      <c r="G594" s="23"/>
      <c r="H594" s="23"/>
      <c r="I594" s="23"/>
      <c r="J594" s="23"/>
      <c r="K594" s="23"/>
      <c r="L594" s="23"/>
      <c r="M594" s="23"/>
      <c r="N594" s="23"/>
      <c r="O594" s="23"/>
      <c r="Q594" s="23"/>
      <c r="S594" s="23"/>
    </row>
    <row r="595">
      <c r="B595" s="23"/>
      <c r="C595" s="23"/>
      <c r="E595" s="24"/>
      <c r="G595" s="23"/>
      <c r="H595" s="23"/>
      <c r="I595" s="23"/>
      <c r="J595" s="23"/>
      <c r="K595" s="23"/>
      <c r="L595" s="23"/>
      <c r="M595" s="23"/>
      <c r="N595" s="23"/>
      <c r="O595" s="23"/>
      <c r="Q595" s="23"/>
      <c r="S595" s="23"/>
    </row>
    <row r="596">
      <c r="B596" s="23"/>
      <c r="C596" s="23"/>
      <c r="E596" s="24"/>
      <c r="G596" s="23"/>
      <c r="H596" s="23"/>
      <c r="I596" s="23"/>
      <c r="J596" s="23"/>
      <c r="K596" s="23"/>
      <c r="L596" s="23"/>
      <c r="M596" s="23"/>
      <c r="N596" s="23"/>
      <c r="O596" s="23"/>
      <c r="Q596" s="23"/>
      <c r="S596" s="23"/>
    </row>
    <row r="597">
      <c r="B597" s="23"/>
      <c r="C597" s="23"/>
      <c r="E597" s="24"/>
      <c r="G597" s="23"/>
      <c r="H597" s="23"/>
      <c r="I597" s="23"/>
      <c r="J597" s="23"/>
      <c r="K597" s="23"/>
      <c r="L597" s="23"/>
      <c r="M597" s="23"/>
      <c r="N597" s="23"/>
      <c r="O597" s="23"/>
      <c r="Q597" s="23"/>
      <c r="S597" s="23"/>
    </row>
    <row r="598">
      <c r="B598" s="23"/>
      <c r="C598" s="23"/>
      <c r="E598" s="24"/>
      <c r="G598" s="23"/>
      <c r="H598" s="23"/>
      <c r="I598" s="23"/>
      <c r="J598" s="23"/>
      <c r="K598" s="23"/>
      <c r="L598" s="23"/>
      <c r="M598" s="23"/>
      <c r="N598" s="23"/>
      <c r="O598" s="23"/>
      <c r="Q598" s="23"/>
      <c r="S598" s="23"/>
    </row>
    <row r="599">
      <c r="B599" s="23"/>
      <c r="C599" s="23"/>
      <c r="E599" s="24"/>
      <c r="G599" s="23"/>
      <c r="H599" s="23"/>
      <c r="I599" s="23"/>
      <c r="J599" s="23"/>
      <c r="K599" s="23"/>
      <c r="L599" s="23"/>
      <c r="M599" s="23"/>
      <c r="N599" s="23"/>
      <c r="O599" s="23"/>
      <c r="Q599" s="23"/>
      <c r="S599" s="23"/>
    </row>
    <row r="600">
      <c r="B600" s="23"/>
      <c r="C600" s="23"/>
      <c r="E600" s="24"/>
      <c r="G600" s="23"/>
      <c r="H600" s="23"/>
      <c r="I600" s="23"/>
      <c r="J600" s="23"/>
      <c r="K600" s="23"/>
      <c r="L600" s="23"/>
      <c r="M600" s="23"/>
      <c r="N600" s="23"/>
      <c r="O600" s="23"/>
      <c r="Q600" s="23"/>
      <c r="S600" s="23"/>
    </row>
    <row r="601">
      <c r="B601" s="23"/>
      <c r="C601" s="23"/>
      <c r="E601" s="24"/>
      <c r="G601" s="23"/>
      <c r="H601" s="23"/>
      <c r="I601" s="23"/>
      <c r="J601" s="23"/>
      <c r="K601" s="23"/>
      <c r="L601" s="23"/>
      <c r="M601" s="23"/>
      <c r="N601" s="23"/>
      <c r="O601" s="23"/>
      <c r="Q601" s="23"/>
      <c r="S601" s="23"/>
    </row>
    <row r="602">
      <c r="B602" s="23"/>
      <c r="C602" s="23"/>
      <c r="E602" s="24"/>
      <c r="G602" s="23"/>
      <c r="H602" s="23"/>
      <c r="I602" s="23"/>
      <c r="J602" s="23"/>
      <c r="K602" s="23"/>
      <c r="L602" s="23"/>
      <c r="M602" s="23"/>
      <c r="N602" s="23"/>
      <c r="O602" s="23"/>
      <c r="Q602" s="23"/>
      <c r="S602" s="23"/>
    </row>
    <row r="603">
      <c r="B603" s="23"/>
      <c r="C603" s="23"/>
      <c r="E603" s="24"/>
      <c r="G603" s="23"/>
      <c r="H603" s="23"/>
      <c r="I603" s="23"/>
      <c r="J603" s="23"/>
      <c r="K603" s="23"/>
      <c r="L603" s="23"/>
      <c r="M603" s="23"/>
      <c r="N603" s="23"/>
      <c r="O603" s="23"/>
      <c r="Q603" s="23"/>
      <c r="S603" s="23"/>
    </row>
    <row r="604">
      <c r="B604" s="23"/>
      <c r="C604" s="23"/>
      <c r="E604" s="24"/>
      <c r="G604" s="23"/>
      <c r="H604" s="23"/>
      <c r="I604" s="23"/>
      <c r="J604" s="23"/>
      <c r="K604" s="23"/>
      <c r="L604" s="23"/>
      <c r="M604" s="23"/>
      <c r="N604" s="23"/>
      <c r="O604" s="23"/>
      <c r="Q604" s="23"/>
      <c r="S604" s="23"/>
    </row>
    <row r="605">
      <c r="B605" s="23"/>
      <c r="C605" s="23"/>
      <c r="E605" s="24"/>
      <c r="G605" s="23"/>
      <c r="H605" s="23"/>
      <c r="I605" s="23"/>
      <c r="J605" s="23"/>
      <c r="K605" s="23"/>
      <c r="L605" s="23"/>
      <c r="M605" s="23"/>
      <c r="N605" s="23"/>
      <c r="O605" s="23"/>
      <c r="Q605" s="23"/>
      <c r="S605" s="23"/>
    </row>
    <row r="606">
      <c r="B606" s="23"/>
      <c r="C606" s="23"/>
      <c r="E606" s="24"/>
      <c r="G606" s="23"/>
      <c r="H606" s="23"/>
      <c r="I606" s="23"/>
      <c r="J606" s="23"/>
      <c r="K606" s="23"/>
      <c r="L606" s="23"/>
      <c r="M606" s="23"/>
      <c r="N606" s="23"/>
      <c r="O606" s="23"/>
      <c r="Q606" s="23"/>
      <c r="S606" s="23"/>
    </row>
    <row r="607">
      <c r="B607" s="23"/>
      <c r="C607" s="23"/>
      <c r="E607" s="24"/>
      <c r="G607" s="23"/>
      <c r="H607" s="23"/>
      <c r="I607" s="23"/>
      <c r="J607" s="23"/>
      <c r="K607" s="23"/>
      <c r="L607" s="23"/>
      <c r="M607" s="23"/>
      <c r="N607" s="23"/>
      <c r="O607" s="23"/>
      <c r="Q607" s="23"/>
      <c r="S607" s="23"/>
    </row>
    <row r="608">
      <c r="B608" s="23"/>
      <c r="C608" s="23"/>
      <c r="E608" s="24"/>
      <c r="G608" s="23"/>
      <c r="H608" s="23"/>
      <c r="I608" s="23"/>
      <c r="J608" s="23"/>
      <c r="K608" s="23"/>
      <c r="L608" s="23"/>
      <c r="M608" s="23"/>
      <c r="N608" s="23"/>
      <c r="O608" s="23"/>
      <c r="Q608" s="23"/>
      <c r="S608" s="23"/>
    </row>
    <row r="609">
      <c r="B609" s="23"/>
      <c r="C609" s="23"/>
      <c r="E609" s="24"/>
      <c r="G609" s="23"/>
      <c r="H609" s="23"/>
      <c r="I609" s="23"/>
      <c r="J609" s="23"/>
      <c r="K609" s="23"/>
      <c r="L609" s="23"/>
      <c r="M609" s="23"/>
      <c r="N609" s="23"/>
      <c r="O609" s="23"/>
      <c r="Q609" s="23"/>
      <c r="S609" s="23"/>
    </row>
    <row r="610">
      <c r="B610" s="23"/>
      <c r="C610" s="23"/>
      <c r="E610" s="24"/>
      <c r="G610" s="23"/>
      <c r="H610" s="23"/>
      <c r="I610" s="23"/>
      <c r="J610" s="23"/>
      <c r="K610" s="23"/>
      <c r="L610" s="23"/>
      <c r="M610" s="23"/>
      <c r="N610" s="23"/>
      <c r="O610" s="23"/>
      <c r="Q610" s="23"/>
      <c r="S610" s="23"/>
    </row>
    <row r="611">
      <c r="B611" s="23"/>
      <c r="C611" s="23"/>
      <c r="E611" s="24"/>
      <c r="G611" s="23"/>
      <c r="H611" s="23"/>
      <c r="I611" s="23"/>
      <c r="J611" s="23"/>
      <c r="K611" s="23"/>
      <c r="L611" s="23"/>
      <c r="M611" s="23"/>
      <c r="N611" s="23"/>
      <c r="O611" s="23"/>
      <c r="Q611" s="23"/>
      <c r="S611" s="23"/>
    </row>
    <row r="612">
      <c r="B612" s="23"/>
      <c r="C612" s="23"/>
      <c r="E612" s="24"/>
      <c r="G612" s="23"/>
      <c r="H612" s="23"/>
      <c r="I612" s="23"/>
      <c r="J612" s="23"/>
      <c r="K612" s="23"/>
      <c r="L612" s="23"/>
      <c r="M612" s="23"/>
      <c r="N612" s="23"/>
      <c r="O612" s="23"/>
      <c r="Q612" s="23"/>
      <c r="S612" s="23"/>
    </row>
    <row r="613">
      <c r="B613" s="23"/>
      <c r="C613" s="23"/>
      <c r="E613" s="24"/>
      <c r="G613" s="23"/>
      <c r="H613" s="23"/>
      <c r="I613" s="23"/>
      <c r="J613" s="23"/>
      <c r="K613" s="23"/>
      <c r="L613" s="23"/>
      <c r="M613" s="23"/>
      <c r="N613" s="23"/>
      <c r="O613" s="23"/>
      <c r="Q613" s="23"/>
      <c r="S613" s="23"/>
    </row>
    <row r="614">
      <c r="B614" s="23"/>
      <c r="C614" s="23"/>
      <c r="E614" s="24"/>
      <c r="G614" s="23"/>
      <c r="H614" s="23"/>
      <c r="I614" s="23"/>
      <c r="J614" s="23"/>
      <c r="K614" s="23"/>
      <c r="L614" s="23"/>
      <c r="M614" s="23"/>
      <c r="N614" s="23"/>
      <c r="O614" s="23"/>
      <c r="Q614" s="23"/>
      <c r="S614" s="23"/>
    </row>
    <row r="615">
      <c r="B615" s="23"/>
      <c r="C615" s="23"/>
      <c r="E615" s="24"/>
      <c r="G615" s="23"/>
      <c r="H615" s="23"/>
      <c r="I615" s="23"/>
      <c r="J615" s="23"/>
      <c r="K615" s="23"/>
      <c r="L615" s="23"/>
      <c r="M615" s="23"/>
      <c r="N615" s="23"/>
      <c r="O615" s="23"/>
      <c r="Q615" s="23"/>
      <c r="S615" s="23"/>
    </row>
    <row r="616">
      <c r="B616" s="23"/>
      <c r="C616" s="23"/>
      <c r="E616" s="24"/>
      <c r="G616" s="23"/>
      <c r="H616" s="23"/>
      <c r="I616" s="23"/>
      <c r="J616" s="23"/>
      <c r="K616" s="23"/>
      <c r="L616" s="23"/>
      <c r="M616" s="23"/>
      <c r="N616" s="23"/>
      <c r="O616" s="23"/>
      <c r="Q616" s="23"/>
      <c r="S616" s="23"/>
    </row>
    <row r="617">
      <c r="B617" s="23"/>
      <c r="C617" s="23"/>
      <c r="E617" s="24"/>
      <c r="G617" s="23"/>
      <c r="H617" s="23"/>
      <c r="I617" s="23"/>
      <c r="J617" s="23"/>
      <c r="K617" s="23"/>
      <c r="L617" s="23"/>
      <c r="M617" s="23"/>
      <c r="N617" s="23"/>
      <c r="O617" s="23"/>
      <c r="Q617" s="23"/>
      <c r="S617" s="23"/>
    </row>
    <row r="618">
      <c r="B618" s="23"/>
      <c r="C618" s="23"/>
      <c r="E618" s="24"/>
      <c r="G618" s="23"/>
      <c r="H618" s="23"/>
      <c r="I618" s="23"/>
      <c r="J618" s="23"/>
      <c r="K618" s="23"/>
      <c r="L618" s="23"/>
      <c r="M618" s="23"/>
      <c r="N618" s="23"/>
      <c r="O618" s="23"/>
      <c r="Q618" s="23"/>
      <c r="S618" s="23"/>
    </row>
    <row r="619">
      <c r="B619" s="23"/>
      <c r="C619" s="23"/>
      <c r="E619" s="24"/>
      <c r="G619" s="23"/>
      <c r="H619" s="23"/>
      <c r="I619" s="23"/>
      <c r="J619" s="23"/>
      <c r="K619" s="23"/>
      <c r="L619" s="23"/>
      <c r="M619" s="23"/>
      <c r="N619" s="23"/>
      <c r="O619" s="23"/>
      <c r="Q619" s="23"/>
      <c r="S619" s="23"/>
    </row>
    <row r="620">
      <c r="B620" s="23"/>
      <c r="C620" s="23"/>
      <c r="E620" s="24"/>
      <c r="G620" s="23"/>
      <c r="H620" s="23"/>
      <c r="I620" s="23"/>
      <c r="J620" s="23"/>
      <c r="K620" s="23"/>
      <c r="L620" s="23"/>
      <c r="M620" s="23"/>
      <c r="N620" s="23"/>
      <c r="O620" s="23"/>
      <c r="Q620" s="23"/>
      <c r="S620" s="23"/>
    </row>
    <row r="621">
      <c r="B621" s="23"/>
      <c r="C621" s="23"/>
      <c r="E621" s="24"/>
      <c r="G621" s="23"/>
      <c r="H621" s="23"/>
      <c r="I621" s="23"/>
      <c r="J621" s="23"/>
      <c r="K621" s="23"/>
      <c r="L621" s="23"/>
      <c r="M621" s="23"/>
      <c r="N621" s="23"/>
      <c r="O621" s="23"/>
      <c r="Q621" s="23"/>
      <c r="S621" s="23"/>
    </row>
    <row r="622">
      <c r="B622" s="23"/>
      <c r="C622" s="23"/>
      <c r="E622" s="24"/>
      <c r="G622" s="23"/>
      <c r="H622" s="23"/>
      <c r="I622" s="23"/>
      <c r="J622" s="23"/>
      <c r="K622" s="23"/>
      <c r="L622" s="23"/>
      <c r="M622" s="23"/>
      <c r="N622" s="23"/>
      <c r="O622" s="23"/>
      <c r="Q622" s="23"/>
      <c r="S622" s="23"/>
    </row>
    <row r="623">
      <c r="B623" s="23"/>
      <c r="C623" s="23"/>
      <c r="E623" s="24"/>
      <c r="G623" s="23"/>
      <c r="H623" s="23"/>
      <c r="I623" s="23"/>
      <c r="J623" s="23"/>
      <c r="K623" s="23"/>
      <c r="L623" s="23"/>
      <c r="M623" s="23"/>
      <c r="N623" s="23"/>
      <c r="O623" s="23"/>
      <c r="Q623" s="23"/>
      <c r="S623" s="23"/>
    </row>
    <row r="624">
      <c r="B624" s="23"/>
      <c r="C624" s="23"/>
      <c r="E624" s="24"/>
      <c r="G624" s="23"/>
      <c r="H624" s="23"/>
      <c r="I624" s="23"/>
      <c r="J624" s="23"/>
      <c r="K624" s="23"/>
      <c r="L624" s="23"/>
      <c r="M624" s="23"/>
      <c r="N624" s="23"/>
      <c r="O624" s="23"/>
      <c r="Q624" s="23"/>
      <c r="S624" s="23"/>
    </row>
    <row r="625">
      <c r="B625" s="23"/>
      <c r="C625" s="23"/>
      <c r="E625" s="24"/>
      <c r="G625" s="23"/>
      <c r="H625" s="23"/>
      <c r="I625" s="23"/>
      <c r="J625" s="23"/>
      <c r="K625" s="23"/>
      <c r="L625" s="23"/>
      <c r="M625" s="23"/>
      <c r="N625" s="23"/>
      <c r="O625" s="23"/>
      <c r="Q625" s="23"/>
      <c r="S625" s="23"/>
    </row>
    <row r="626">
      <c r="B626" s="23"/>
      <c r="C626" s="23"/>
      <c r="E626" s="24"/>
      <c r="G626" s="23"/>
      <c r="H626" s="23"/>
      <c r="I626" s="23"/>
      <c r="J626" s="23"/>
      <c r="K626" s="23"/>
      <c r="L626" s="23"/>
      <c r="M626" s="23"/>
      <c r="N626" s="23"/>
      <c r="O626" s="23"/>
      <c r="Q626" s="23"/>
      <c r="S626" s="23"/>
    </row>
    <row r="627">
      <c r="B627" s="23"/>
      <c r="C627" s="23"/>
      <c r="E627" s="24"/>
      <c r="G627" s="23"/>
      <c r="H627" s="23"/>
      <c r="I627" s="23"/>
      <c r="J627" s="23"/>
      <c r="K627" s="23"/>
      <c r="L627" s="23"/>
      <c r="M627" s="23"/>
      <c r="N627" s="23"/>
      <c r="O627" s="23"/>
      <c r="Q627" s="23"/>
      <c r="S627" s="23"/>
    </row>
    <row r="628">
      <c r="B628" s="23"/>
      <c r="C628" s="23"/>
      <c r="E628" s="24"/>
      <c r="G628" s="23"/>
      <c r="H628" s="23"/>
      <c r="I628" s="23"/>
      <c r="J628" s="23"/>
      <c r="K628" s="23"/>
      <c r="L628" s="23"/>
      <c r="M628" s="23"/>
      <c r="N628" s="23"/>
      <c r="O628" s="23"/>
      <c r="Q628" s="23"/>
      <c r="S628" s="23"/>
    </row>
    <row r="629">
      <c r="B629" s="23"/>
      <c r="C629" s="23"/>
      <c r="E629" s="24"/>
      <c r="G629" s="23"/>
      <c r="H629" s="23"/>
      <c r="I629" s="23"/>
      <c r="J629" s="23"/>
      <c r="K629" s="23"/>
      <c r="L629" s="23"/>
      <c r="M629" s="23"/>
      <c r="N629" s="23"/>
      <c r="O629" s="23"/>
      <c r="Q629" s="23"/>
      <c r="S629" s="23"/>
    </row>
    <row r="630">
      <c r="B630" s="23"/>
      <c r="C630" s="23"/>
      <c r="E630" s="24"/>
      <c r="G630" s="23"/>
      <c r="H630" s="23"/>
      <c r="I630" s="23"/>
      <c r="J630" s="23"/>
      <c r="K630" s="23"/>
      <c r="L630" s="23"/>
      <c r="M630" s="23"/>
      <c r="N630" s="23"/>
      <c r="O630" s="23"/>
      <c r="Q630" s="23"/>
      <c r="S630" s="23"/>
    </row>
    <row r="631">
      <c r="B631" s="23"/>
      <c r="C631" s="23"/>
      <c r="E631" s="24"/>
      <c r="G631" s="23"/>
      <c r="H631" s="23"/>
      <c r="I631" s="23"/>
      <c r="J631" s="23"/>
      <c r="K631" s="23"/>
      <c r="L631" s="23"/>
      <c r="M631" s="23"/>
      <c r="N631" s="23"/>
      <c r="O631" s="23"/>
      <c r="Q631" s="23"/>
      <c r="S631" s="23"/>
    </row>
    <row r="632">
      <c r="B632" s="23"/>
      <c r="C632" s="23"/>
      <c r="E632" s="24"/>
      <c r="G632" s="23"/>
      <c r="H632" s="23"/>
      <c r="I632" s="23"/>
      <c r="J632" s="23"/>
      <c r="K632" s="23"/>
      <c r="L632" s="23"/>
      <c r="M632" s="23"/>
      <c r="N632" s="23"/>
      <c r="O632" s="23"/>
      <c r="Q632" s="23"/>
      <c r="S632" s="23"/>
    </row>
    <row r="633">
      <c r="B633" s="23"/>
      <c r="C633" s="23"/>
      <c r="E633" s="24"/>
      <c r="G633" s="23"/>
      <c r="H633" s="23"/>
      <c r="I633" s="23"/>
      <c r="J633" s="23"/>
      <c r="K633" s="23"/>
      <c r="L633" s="23"/>
      <c r="M633" s="23"/>
      <c r="N633" s="23"/>
      <c r="O633" s="23"/>
      <c r="Q633" s="23"/>
      <c r="S633" s="23"/>
    </row>
    <row r="634">
      <c r="B634" s="23"/>
      <c r="C634" s="23"/>
      <c r="E634" s="24"/>
      <c r="G634" s="23"/>
      <c r="H634" s="23"/>
      <c r="I634" s="23"/>
      <c r="J634" s="23"/>
      <c r="K634" s="23"/>
      <c r="L634" s="23"/>
      <c r="M634" s="23"/>
      <c r="N634" s="23"/>
      <c r="O634" s="23"/>
      <c r="Q634" s="23"/>
      <c r="S634" s="23"/>
    </row>
    <row r="635">
      <c r="B635" s="23"/>
      <c r="C635" s="23"/>
      <c r="E635" s="24"/>
      <c r="G635" s="23"/>
      <c r="H635" s="23"/>
      <c r="I635" s="23"/>
      <c r="J635" s="23"/>
      <c r="K635" s="23"/>
      <c r="L635" s="23"/>
      <c r="M635" s="23"/>
      <c r="N635" s="23"/>
      <c r="O635" s="23"/>
      <c r="Q635" s="23"/>
      <c r="S635" s="23"/>
    </row>
    <row r="636">
      <c r="B636" s="23"/>
      <c r="C636" s="23"/>
      <c r="E636" s="24"/>
      <c r="G636" s="23"/>
      <c r="H636" s="23"/>
      <c r="I636" s="23"/>
      <c r="J636" s="23"/>
      <c r="K636" s="23"/>
      <c r="L636" s="23"/>
      <c r="M636" s="23"/>
      <c r="N636" s="23"/>
      <c r="O636" s="23"/>
      <c r="Q636" s="23"/>
      <c r="S636" s="23"/>
    </row>
    <row r="637">
      <c r="B637" s="23"/>
      <c r="C637" s="23"/>
      <c r="E637" s="24"/>
      <c r="G637" s="23"/>
      <c r="H637" s="23"/>
      <c r="I637" s="23"/>
      <c r="J637" s="23"/>
      <c r="K637" s="23"/>
      <c r="L637" s="23"/>
      <c r="M637" s="23"/>
      <c r="N637" s="23"/>
      <c r="O637" s="23"/>
      <c r="Q637" s="23"/>
      <c r="S637" s="23"/>
    </row>
    <row r="638">
      <c r="B638" s="23"/>
      <c r="C638" s="23"/>
      <c r="E638" s="24"/>
      <c r="G638" s="23"/>
      <c r="H638" s="23"/>
      <c r="I638" s="23"/>
      <c r="J638" s="23"/>
      <c r="K638" s="23"/>
      <c r="L638" s="23"/>
      <c r="M638" s="23"/>
      <c r="N638" s="23"/>
      <c r="O638" s="23"/>
      <c r="Q638" s="23"/>
      <c r="S638" s="23"/>
    </row>
    <row r="639">
      <c r="B639" s="23"/>
      <c r="C639" s="23"/>
      <c r="E639" s="24"/>
      <c r="G639" s="23"/>
      <c r="H639" s="23"/>
      <c r="I639" s="23"/>
      <c r="J639" s="23"/>
      <c r="K639" s="23"/>
      <c r="L639" s="23"/>
      <c r="M639" s="23"/>
      <c r="N639" s="23"/>
      <c r="O639" s="23"/>
      <c r="Q639" s="23"/>
      <c r="S639" s="23"/>
    </row>
    <row r="640">
      <c r="B640" s="23"/>
      <c r="C640" s="23"/>
      <c r="E640" s="24"/>
      <c r="G640" s="23"/>
      <c r="H640" s="23"/>
      <c r="I640" s="23"/>
      <c r="J640" s="23"/>
      <c r="K640" s="23"/>
      <c r="L640" s="23"/>
      <c r="M640" s="23"/>
      <c r="N640" s="23"/>
      <c r="O640" s="23"/>
      <c r="Q640" s="23"/>
      <c r="S640" s="23"/>
    </row>
    <row r="641">
      <c r="B641" s="23"/>
      <c r="C641" s="23"/>
      <c r="E641" s="24"/>
      <c r="G641" s="23"/>
      <c r="H641" s="23"/>
      <c r="I641" s="23"/>
      <c r="J641" s="23"/>
      <c r="K641" s="23"/>
      <c r="L641" s="23"/>
      <c r="M641" s="23"/>
      <c r="N641" s="23"/>
      <c r="O641" s="23"/>
      <c r="Q641" s="23"/>
      <c r="S641" s="23"/>
    </row>
    <row r="642">
      <c r="B642" s="23"/>
      <c r="C642" s="23"/>
      <c r="E642" s="24"/>
      <c r="G642" s="23"/>
      <c r="H642" s="23"/>
      <c r="I642" s="23"/>
      <c r="J642" s="23"/>
      <c r="K642" s="23"/>
      <c r="L642" s="23"/>
      <c r="M642" s="23"/>
      <c r="N642" s="23"/>
      <c r="O642" s="23"/>
      <c r="Q642" s="23"/>
      <c r="S642" s="23"/>
    </row>
    <row r="643">
      <c r="B643" s="23"/>
      <c r="C643" s="23"/>
      <c r="E643" s="24"/>
      <c r="G643" s="23"/>
      <c r="H643" s="23"/>
      <c r="I643" s="23"/>
      <c r="J643" s="23"/>
      <c r="K643" s="23"/>
      <c r="L643" s="23"/>
      <c r="M643" s="23"/>
      <c r="N643" s="23"/>
      <c r="O643" s="23"/>
      <c r="Q643" s="23"/>
      <c r="S643" s="23"/>
    </row>
    <row r="644">
      <c r="B644" s="23"/>
      <c r="C644" s="23"/>
      <c r="E644" s="24"/>
      <c r="G644" s="23"/>
      <c r="H644" s="23"/>
      <c r="I644" s="23"/>
      <c r="J644" s="23"/>
      <c r="K644" s="23"/>
      <c r="L644" s="23"/>
      <c r="M644" s="23"/>
      <c r="N644" s="23"/>
      <c r="O644" s="23"/>
      <c r="Q644" s="23"/>
      <c r="S644" s="23"/>
    </row>
    <row r="645">
      <c r="B645" s="23"/>
      <c r="C645" s="23"/>
      <c r="E645" s="24"/>
      <c r="G645" s="23"/>
      <c r="H645" s="23"/>
      <c r="I645" s="23"/>
      <c r="J645" s="23"/>
      <c r="K645" s="23"/>
      <c r="L645" s="23"/>
      <c r="M645" s="23"/>
      <c r="N645" s="23"/>
      <c r="O645" s="23"/>
      <c r="Q645" s="23"/>
      <c r="S645" s="23"/>
    </row>
    <row r="646">
      <c r="B646" s="23"/>
      <c r="C646" s="23"/>
      <c r="E646" s="24"/>
      <c r="G646" s="23"/>
      <c r="H646" s="23"/>
      <c r="I646" s="23"/>
      <c r="J646" s="23"/>
      <c r="K646" s="23"/>
      <c r="L646" s="23"/>
      <c r="M646" s="23"/>
      <c r="N646" s="23"/>
      <c r="O646" s="23"/>
      <c r="Q646" s="23"/>
      <c r="S646" s="23"/>
    </row>
    <row r="647">
      <c r="B647" s="23"/>
      <c r="C647" s="23"/>
      <c r="E647" s="24"/>
      <c r="G647" s="23"/>
      <c r="H647" s="23"/>
      <c r="I647" s="23"/>
      <c r="J647" s="23"/>
      <c r="K647" s="23"/>
      <c r="L647" s="23"/>
      <c r="M647" s="23"/>
      <c r="N647" s="23"/>
      <c r="O647" s="23"/>
      <c r="Q647" s="23"/>
      <c r="S647" s="23"/>
    </row>
    <row r="648">
      <c r="B648" s="23"/>
      <c r="C648" s="23"/>
      <c r="E648" s="24"/>
      <c r="G648" s="23"/>
      <c r="H648" s="23"/>
      <c r="I648" s="23"/>
      <c r="J648" s="23"/>
      <c r="K648" s="23"/>
      <c r="L648" s="23"/>
      <c r="M648" s="23"/>
      <c r="N648" s="23"/>
      <c r="O648" s="23"/>
      <c r="Q648" s="23"/>
      <c r="S648" s="23"/>
    </row>
    <row r="649">
      <c r="B649" s="23"/>
      <c r="C649" s="23"/>
      <c r="E649" s="24"/>
      <c r="G649" s="23"/>
      <c r="H649" s="23"/>
      <c r="I649" s="23"/>
      <c r="J649" s="23"/>
      <c r="K649" s="23"/>
      <c r="L649" s="23"/>
      <c r="M649" s="23"/>
      <c r="N649" s="23"/>
      <c r="O649" s="23"/>
      <c r="Q649" s="23"/>
      <c r="S649" s="23"/>
    </row>
    <row r="650">
      <c r="B650" s="23"/>
      <c r="C650" s="23"/>
      <c r="E650" s="24"/>
      <c r="G650" s="23"/>
      <c r="H650" s="23"/>
      <c r="I650" s="23"/>
      <c r="J650" s="23"/>
      <c r="K650" s="23"/>
      <c r="L650" s="23"/>
      <c r="M650" s="23"/>
      <c r="N650" s="23"/>
      <c r="O650" s="23"/>
      <c r="Q650" s="23"/>
      <c r="S650" s="23"/>
    </row>
    <row r="651">
      <c r="B651" s="23"/>
      <c r="C651" s="23"/>
      <c r="E651" s="24"/>
      <c r="G651" s="23"/>
      <c r="H651" s="23"/>
      <c r="I651" s="23"/>
      <c r="J651" s="23"/>
      <c r="K651" s="23"/>
      <c r="L651" s="23"/>
      <c r="M651" s="23"/>
      <c r="N651" s="23"/>
      <c r="O651" s="23"/>
      <c r="Q651" s="23"/>
      <c r="S651" s="23"/>
    </row>
    <row r="652">
      <c r="B652" s="23"/>
      <c r="C652" s="23"/>
      <c r="E652" s="24"/>
      <c r="G652" s="23"/>
      <c r="H652" s="23"/>
      <c r="I652" s="23"/>
      <c r="J652" s="23"/>
      <c r="K652" s="23"/>
      <c r="L652" s="23"/>
      <c r="M652" s="23"/>
      <c r="N652" s="23"/>
      <c r="O652" s="23"/>
      <c r="Q652" s="23"/>
      <c r="S652" s="23"/>
    </row>
    <row r="653">
      <c r="B653" s="23"/>
      <c r="C653" s="23"/>
      <c r="E653" s="24"/>
      <c r="G653" s="23"/>
      <c r="H653" s="23"/>
      <c r="I653" s="23"/>
      <c r="J653" s="23"/>
      <c r="K653" s="23"/>
      <c r="L653" s="23"/>
      <c r="M653" s="23"/>
      <c r="N653" s="23"/>
      <c r="O653" s="23"/>
      <c r="Q653" s="23"/>
      <c r="S653" s="23"/>
    </row>
    <row r="654">
      <c r="B654" s="23"/>
      <c r="C654" s="23"/>
      <c r="E654" s="24"/>
      <c r="G654" s="23"/>
      <c r="H654" s="23"/>
      <c r="I654" s="23"/>
      <c r="J654" s="23"/>
      <c r="K654" s="23"/>
      <c r="L654" s="23"/>
      <c r="M654" s="23"/>
      <c r="N654" s="23"/>
      <c r="O654" s="23"/>
      <c r="Q654" s="23"/>
      <c r="S654" s="23"/>
    </row>
    <row r="655">
      <c r="B655" s="23"/>
      <c r="C655" s="23"/>
      <c r="E655" s="24"/>
      <c r="G655" s="23"/>
      <c r="H655" s="23"/>
      <c r="I655" s="23"/>
      <c r="J655" s="23"/>
      <c r="K655" s="23"/>
      <c r="L655" s="23"/>
      <c r="M655" s="23"/>
      <c r="N655" s="23"/>
      <c r="O655" s="23"/>
      <c r="Q655" s="23"/>
      <c r="S655" s="23"/>
    </row>
    <row r="656">
      <c r="B656" s="23"/>
      <c r="C656" s="23"/>
      <c r="E656" s="24"/>
      <c r="G656" s="23"/>
      <c r="H656" s="23"/>
      <c r="I656" s="23"/>
      <c r="J656" s="23"/>
      <c r="K656" s="23"/>
      <c r="L656" s="23"/>
      <c r="M656" s="23"/>
      <c r="N656" s="23"/>
      <c r="O656" s="23"/>
      <c r="Q656" s="23"/>
      <c r="S656" s="23"/>
    </row>
    <row r="657">
      <c r="B657" s="23"/>
      <c r="C657" s="23"/>
      <c r="E657" s="24"/>
      <c r="G657" s="23"/>
      <c r="H657" s="23"/>
      <c r="I657" s="23"/>
      <c r="J657" s="23"/>
      <c r="K657" s="23"/>
      <c r="L657" s="23"/>
      <c r="M657" s="23"/>
      <c r="N657" s="23"/>
      <c r="O657" s="23"/>
      <c r="Q657" s="23"/>
      <c r="S657" s="23"/>
    </row>
    <row r="658">
      <c r="B658" s="23"/>
      <c r="C658" s="23"/>
      <c r="E658" s="24"/>
      <c r="G658" s="23"/>
      <c r="H658" s="23"/>
      <c r="I658" s="23"/>
      <c r="J658" s="23"/>
      <c r="K658" s="23"/>
      <c r="L658" s="23"/>
      <c r="M658" s="23"/>
      <c r="N658" s="23"/>
      <c r="O658" s="23"/>
      <c r="Q658" s="23"/>
      <c r="S658" s="23"/>
    </row>
    <row r="659">
      <c r="B659" s="23"/>
      <c r="C659" s="23"/>
      <c r="E659" s="24"/>
      <c r="G659" s="23"/>
      <c r="H659" s="23"/>
      <c r="I659" s="23"/>
      <c r="J659" s="23"/>
      <c r="K659" s="23"/>
      <c r="L659" s="23"/>
      <c r="M659" s="23"/>
      <c r="N659" s="23"/>
      <c r="O659" s="23"/>
      <c r="Q659" s="23"/>
      <c r="S659" s="23"/>
    </row>
    <row r="660">
      <c r="B660" s="23"/>
      <c r="C660" s="23"/>
      <c r="E660" s="24"/>
      <c r="G660" s="23"/>
      <c r="H660" s="23"/>
      <c r="I660" s="23"/>
      <c r="J660" s="23"/>
      <c r="K660" s="23"/>
      <c r="L660" s="23"/>
      <c r="M660" s="23"/>
      <c r="N660" s="23"/>
      <c r="O660" s="23"/>
      <c r="Q660" s="23"/>
      <c r="S660" s="23"/>
    </row>
    <row r="661">
      <c r="B661" s="23"/>
      <c r="C661" s="23"/>
      <c r="E661" s="24"/>
      <c r="G661" s="23"/>
      <c r="H661" s="23"/>
      <c r="I661" s="23"/>
      <c r="J661" s="23"/>
      <c r="K661" s="23"/>
      <c r="L661" s="23"/>
      <c r="M661" s="23"/>
      <c r="N661" s="23"/>
      <c r="O661" s="23"/>
      <c r="Q661" s="23"/>
      <c r="S661" s="23"/>
    </row>
    <row r="662">
      <c r="B662" s="23"/>
      <c r="C662" s="23"/>
      <c r="E662" s="24"/>
      <c r="G662" s="23"/>
      <c r="H662" s="23"/>
      <c r="I662" s="23"/>
      <c r="J662" s="23"/>
      <c r="K662" s="23"/>
      <c r="L662" s="23"/>
      <c r="M662" s="23"/>
      <c r="N662" s="23"/>
      <c r="O662" s="23"/>
      <c r="Q662" s="23"/>
      <c r="S662" s="23"/>
    </row>
    <row r="663">
      <c r="B663" s="23"/>
      <c r="C663" s="23"/>
      <c r="E663" s="24"/>
      <c r="G663" s="23"/>
      <c r="H663" s="23"/>
      <c r="I663" s="23"/>
      <c r="J663" s="23"/>
      <c r="K663" s="23"/>
      <c r="L663" s="23"/>
      <c r="M663" s="23"/>
      <c r="N663" s="23"/>
      <c r="O663" s="23"/>
      <c r="Q663" s="23"/>
      <c r="S663" s="23"/>
    </row>
    <row r="664">
      <c r="B664" s="23"/>
      <c r="C664" s="23"/>
      <c r="E664" s="24"/>
      <c r="G664" s="23"/>
      <c r="H664" s="23"/>
      <c r="I664" s="23"/>
      <c r="J664" s="23"/>
      <c r="K664" s="23"/>
      <c r="L664" s="23"/>
      <c r="M664" s="23"/>
      <c r="N664" s="23"/>
      <c r="O664" s="23"/>
      <c r="Q664" s="23"/>
      <c r="S664" s="23"/>
    </row>
    <row r="665">
      <c r="B665" s="23"/>
      <c r="C665" s="23"/>
      <c r="E665" s="24"/>
      <c r="G665" s="23"/>
      <c r="H665" s="23"/>
      <c r="I665" s="23"/>
      <c r="J665" s="23"/>
      <c r="K665" s="23"/>
      <c r="L665" s="23"/>
      <c r="M665" s="23"/>
      <c r="N665" s="23"/>
      <c r="O665" s="23"/>
      <c r="Q665" s="23"/>
      <c r="S665" s="23"/>
    </row>
    <row r="666">
      <c r="B666" s="23"/>
      <c r="C666" s="23"/>
      <c r="E666" s="24"/>
      <c r="G666" s="23"/>
      <c r="H666" s="23"/>
      <c r="I666" s="23"/>
      <c r="J666" s="23"/>
      <c r="K666" s="23"/>
      <c r="L666" s="23"/>
      <c r="M666" s="23"/>
      <c r="N666" s="23"/>
      <c r="O666" s="23"/>
      <c r="Q666" s="23"/>
      <c r="S666" s="23"/>
    </row>
    <row r="667">
      <c r="B667" s="23"/>
      <c r="C667" s="23"/>
      <c r="E667" s="24"/>
      <c r="G667" s="23"/>
      <c r="H667" s="23"/>
      <c r="I667" s="23"/>
      <c r="J667" s="23"/>
      <c r="K667" s="23"/>
      <c r="L667" s="23"/>
      <c r="M667" s="23"/>
      <c r="N667" s="23"/>
      <c r="O667" s="23"/>
      <c r="Q667" s="23"/>
      <c r="S667" s="23"/>
    </row>
    <row r="668">
      <c r="B668" s="23"/>
      <c r="C668" s="23"/>
      <c r="E668" s="24"/>
      <c r="G668" s="23"/>
      <c r="H668" s="23"/>
      <c r="I668" s="23"/>
      <c r="J668" s="23"/>
      <c r="K668" s="23"/>
      <c r="L668" s="23"/>
      <c r="M668" s="23"/>
      <c r="N668" s="23"/>
      <c r="O668" s="23"/>
      <c r="Q668" s="23"/>
      <c r="S668" s="23"/>
    </row>
    <row r="669">
      <c r="B669" s="23"/>
      <c r="C669" s="23"/>
      <c r="E669" s="24"/>
      <c r="G669" s="23"/>
      <c r="H669" s="23"/>
      <c r="I669" s="23"/>
      <c r="J669" s="23"/>
      <c r="K669" s="23"/>
      <c r="L669" s="23"/>
      <c r="M669" s="23"/>
      <c r="N669" s="23"/>
      <c r="O669" s="23"/>
      <c r="Q669" s="23"/>
      <c r="S669" s="23"/>
    </row>
    <row r="670">
      <c r="B670" s="23"/>
      <c r="C670" s="23"/>
      <c r="E670" s="24"/>
      <c r="G670" s="23"/>
      <c r="H670" s="23"/>
      <c r="I670" s="23"/>
      <c r="J670" s="23"/>
      <c r="K670" s="23"/>
      <c r="L670" s="23"/>
      <c r="M670" s="23"/>
      <c r="N670" s="23"/>
      <c r="O670" s="23"/>
      <c r="Q670" s="23"/>
      <c r="S670" s="23"/>
    </row>
    <row r="671">
      <c r="B671" s="23"/>
      <c r="C671" s="23"/>
      <c r="E671" s="24"/>
      <c r="G671" s="23"/>
      <c r="H671" s="23"/>
      <c r="I671" s="23"/>
      <c r="J671" s="23"/>
      <c r="K671" s="23"/>
      <c r="L671" s="23"/>
      <c r="M671" s="23"/>
      <c r="N671" s="23"/>
      <c r="O671" s="23"/>
      <c r="Q671" s="23"/>
      <c r="S671" s="23"/>
    </row>
    <row r="672">
      <c r="B672" s="23"/>
      <c r="C672" s="23"/>
      <c r="E672" s="24"/>
      <c r="G672" s="23"/>
      <c r="H672" s="23"/>
      <c r="I672" s="23"/>
      <c r="J672" s="23"/>
      <c r="K672" s="23"/>
      <c r="L672" s="23"/>
      <c r="M672" s="23"/>
      <c r="N672" s="23"/>
      <c r="O672" s="23"/>
      <c r="Q672" s="23"/>
      <c r="S672" s="23"/>
    </row>
    <row r="673">
      <c r="B673" s="23"/>
      <c r="C673" s="23"/>
      <c r="E673" s="24"/>
      <c r="G673" s="23"/>
      <c r="H673" s="23"/>
      <c r="I673" s="23"/>
      <c r="J673" s="23"/>
      <c r="K673" s="23"/>
      <c r="L673" s="23"/>
      <c r="M673" s="23"/>
      <c r="N673" s="23"/>
      <c r="O673" s="23"/>
      <c r="Q673" s="23"/>
      <c r="S673" s="23"/>
    </row>
    <row r="674">
      <c r="B674" s="23"/>
      <c r="C674" s="23"/>
      <c r="E674" s="24"/>
      <c r="G674" s="23"/>
      <c r="H674" s="23"/>
      <c r="I674" s="23"/>
      <c r="J674" s="23"/>
      <c r="K674" s="23"/>
      <c r="L674" s="23"/>
      <c r="M674" s="23"/>
      <c r="N674" s="23"/>
      <c r="O674" s="23"/>
      <c r="Q674" s="23"/>
      <c r="S674" s="23"/>
    </row>
    <row r="675">
      <c r="B675" s="23"/>
      <c r="C675" s="23"/>
      <c r="E675" s="24"/>
      <c r="G675" s="23"/>
      <c r="H675" s="23"/>
      <c r="I675" s="23"/>
      <c r="J675" s="23"/>
      <c r="K675" s="23"/>
      <c r="L675" s="23"/>
      <c r="M675" s="23"/>
      <c r="N675" s="23"/>
      <c r="O675" s="23"/>
      <c r="Q675" s="23"/>
      <c r="S675" s="23"/>
    </row>
    <row r="676">
      <c r="B676" s="23"/>
      <c r="C676" s="23"/>
      <c r="E676" s="24"/>
      <c r="G676" s="23"/>
      <c r="H676" s="23"/>
      <c r="I676" s="23"/>
      <c r="J676" s="23"/>
      <c r="K676" s="23"/>
      <c r="L676" s="23"/>
      <c r="M676" s="23"/>
      <c r="N676" s="23"/>
      <c r="O676" s="23"/>
      <c r="Q676" s="23"/>
      <c r="S676" s="23"/>
    </row>
    <row r="677">
      <c r="B677" s="23"/>
      <c r="C677" s="23"/>
      <c r="E677" s="24"/>
      <c r="G677" s="23"/>
      <c r="H677" s="23"/>
      <c r="I677" s="23"/>
      <c r="J677" s="23"/>
      <c r="K677" s="23"/>
      <c r="L677" s="23"/>
      <c r="M677" s="23"/>
      <c r="N677" s="23"/>
      <c r="O677" s="23"/>
      <c r="Q677" s="23"/>
      <c r="S677" s="23"/>
    </row>
    <row r="678">
      <c r="B678" s="23"/>
      <c r="C678" s="23"/>
      <c r="E678" s="24"/>
      <c r="G678" s="23"/>
      <c r="H678" s="23"/>
      <c r="I678" s="23"/>
      <c r="J678" s="23"/>
      <c r="K678" s="23"/>
      <c r="L678" s="23"/>
      <c r="M678" s="23"/>
      <c r="N678" s="23"/>
      <c r="O678" s="23"/>
      <c r="Q678" s="23"/>
      <c r="S678" s="23"/>
    </row>
    <row r="679">
      <c r="B679" s="23"/>
      <c r="C679" s="23"/>
      <c r="E679" s="24"/>
      <c r="G679" s="23"/>
      <c r="H679" s="23"/>
      <c r="I679" s="23"/>
      <c r="J679" s="23"/>
      <c r="K679" s="23"/>
      <c r="L679" s="23"/>
      <c r="M679" s="23"/>
      <c r="N679" s="23"/>
      <c r="O679" s="23"/>
      <c r="Q679" s="23"/>
      <c r="S679" s="23"/>
    </row>
    <row r="680">
      <c r="B680" s="23"/>
      <c r="C680" s="23"/>
      <c r="E680" s="24"/>
      <c r="G680" s="23"/>
      <c r="H680" s="23"/>
      <c r="I680" s="23"/>
      <c r="J680" s="23"/>
      <c r="K680" s="23"/>
      <c r="L680" s="23"/>
      <c r="M680" s="23"/>
      <c r="N680" s="23"/>
      <c r="O680" s="23"/>
      <c r="Q680" s="23"/>
      <c r="S680" s="23"/>
    </row>
    <row r="681">
      <c r="B681" s="23"/>
      <c r="C681" s="23"/>
      <c r="E681" s="24"/>
      <c r="G681" s="23"/>
      <c r="H681" s="23"/>
      <c r="I681" s="23"/>
      <c r="J681" s="23"/>
      <c r="K681" s="23"/>
      <c r="L681" s="23"/>
      <c r="M681" s="23"/>
      <c r="N681" s="23"/>
      <c r="O681" s="23"/>
      <c r="Q681" s="23"/>
      <c r="S681" s="23"/>
    </row>
    <row r="682">
      <c r="B682" s="23"/>
      <c r="C682" s="23"/>
      <c r="E682" s="24"/>
      <c r="G682" s="23"/>
      <c r="H682" s="23"/>
      <c r="I682" s="23"/>
      <c r="J682" s="23"/>
      <c r="K682" s="23"/>
      <c r="L682" s="23"/>
      <c r="M682" s="23"/>
      <c r="N682" s="23"/>
      <c r="O682" s="23"/>
      <c r="Q682" s="23"/>
      <c r="S682" s="23"/>
    </row>
    <row r="683">
      <c r="B683" s="23"/>
      <c r="C683" s="23"/>
      <c r="E683" s="24"/>
      <c r="G683" s="23"/>
      <c r="H683" s="23"/>
      <c r="I683" s="23"/>
      <c r="J683" s="23"/>
      <c r="K683" s="23"/>
      <c r="L683" s="23"/>
      <c r="M683" s="23"/>
      <c r="N683" s="23"/>
      <c r="O683" s="23"/>
      <c r="Q683" s="23"/>
      <c r="S683" s="23"/>
    </row>
    <row r="684">
      <c r="B684" s="23"/>
      <c r="C684" s="23"/>
      <c r="E684" s="24"/>
      <c r="G684" s="23"/>
      <c r="H684" s="23"/>
      <c r="I684" s="23"/>
      <c r="J684" s="23"/>
      <c r="K684" s="23"/>
      <c r="L684" s="23"/>
      <c r="M684" s="23"/>
      <c r="N684" s="23"/>
      <c r="O684" s="23"/>
      <c r="Q684" s="23"/>
      <c r="S684" s="23"/>
    </row>
    <row r="685">
      <c r="B685" s="23"/>
      <c r="C685" s="23"/>
      <c r="E685" s="24"/>
      <c r="G685" s="23"/>
      <c r="H685" s="23"/>
      <c r="I685" s="23"/>
      <c r="J685" s="23"/>
      <c r="K685" s="23"/>
      <c r="L685" s="23"/>
      <c r="M685" s="23"/>
      <c r="N685" s="23"/>
      <c r="O685" s="23"/>
      <c r="Q685" s="23"/>
      <c r="S685" s="23"/>
    </row>
    <row r="686">
      <c r="B686" s="23"/>
      <c r="C686" s="23"/>
      <c r="E686" s="24"/>
      <c r="G686" s="23"/>
      <c r="H686" s="23"/>
      <c r="I686" s="23"/>
      <c r="J686" s="23"/>
      <c r="K686" s="23"/>
      <c r="L686" s="23"/>
      <c r="M686" s="23"/>
      <c r="N686" s="23"/>
      <c r="O686" s="23"/>
      <c r="Q686" s="23"/>
      <c r="S686" s="23"/>
    </row>
    <row r="687">
      <c r="B687" s="23"/>
      <c r="C687" s="23"/>
      <c r="E687" s="24"/>
      <c r="G687" s="23"/>
      <c r="H687" s="23"/>
      <c r="I687" s="23"/>
      <c r="J687" s="23"/>
      <c r="K687" s="23"/>
      <c r="L687" s="23"/>
      <c r="M687" s="23"/>
      <c r="N687" s="23"/>
      <c r="O687" s="23"/>
      <c r="Q687" s="23"/>
      <c r="S687" s="23"/>
    </row>
    <row r="688">
      <c r="B688" s="23"/>
      <c r="C688" s="23"/>
      <c r="E688" s="24"/>
      <c r="G688" s="23"/>
      <c r="H688" s="23"/>
      <c r="I688" s="23"/>
      <c r="J688" s="23"/>
      <c r="K688" s="23"/>
      <c r="L688" s="23"/>
      <c r="M688" s="23"/>
      <c r="N688" s="23"/>
      <c r="O688" s="23"/>
      <c r="Q688" s="23"/>
      <c r="S688" s="23"/>
    </row>
    <row r="689">
      <c r="B689" s="23"/>
      <c r="C689" s="23"/>
      <c r="E689" s="24"/>
      <c r="G689" s="23"/>
      <c r="H689" s="23"/>
      <c r="I689" s="23"/>
      <c r="J689" s="23"/>
      <c r="K689" s="23"/>
      <c r="L689" s="23"/>
      <c r="M689" s="23"/>
      <c r="N689" s="23"/>
      <c r="O689" s="23"/>
      <c r="Q689" s="23"/>
      <c r="S689" s="23"/>
    </row>
    <row r="690">
      <c r="B690" s="23"/>
      <c r="C690" s="23"/>
      <c r="E690" s="24"/>
      <c r="G690" s="23"/>
      <c r="H690" s="23"/>
      <c r="I690" s="23"/>
      <c r="J690" s="23"/>
      <c r="K690" s="23"/>
      <c r="L690" s="23"/>
      <c r="M690" s="23"/>
      <c r="N690" s="23"/>
      <c r="O690" s="23"/>
      <c r="Q690" s="23"/>
      <c r="S690" s="23"/>
    </row>
    <row r="691">
      <c r="B691" s="23"/>
      <c r="C691" s="23"/>
      <c r="E691" s="24"/>
      <c r="G691" s="23"/>
      <c r="H691" s="23"/>
      <c r="I691" s="23"/>
      <c r="J691" s="23"/>
      <c r="K691" s="23"/>
      <c r="L691" s="23"/>
      <c r="M691" s="23"/>
      <c r="N691" s="23"/>
      <c r="O691" s="23"/>
      <c r="Q691" s="23"/>
      <c r="S691" s="23"/>
    </row>
    <row r="692">
      <c r="B692" s="23"/>
      <c r="C692" s="23"/>
      <c r="E692" s="24"/>
      <c r="G692" s="23"/>
      <c r="H692" s="23"/>
      <c r="I692" s="23"/>
      <c r="J692" s="23"/>
      <c r="K692" s="23"/>
      <c r="L692" s="23"/>
      <c r="M692" s="23"/>
      <c r="N692" s="23"/>
      <c r="O692" s="23"/>
      <c r="Q692" s="23"/>
      <c r="S692" s="23"/>
    </row>
    <row r="693">
      <c r="B693" s="23"/>
      <c r="C693" s="23"/>
      <c r="E693" s="24"/>
      <c r="G693" s="23"/>
      <c r="H693" s="23"/>
      <c r="I693" s="23"/>
      <c r="J693" s="23"/>
      <c r="K693" s="23"/>
      <c r="L693" s="23"/>
      <c r="M693" s="23"/>
      <c r="N693" s="23"/>
      <c r="O693" s="23"/>
      <c r="Q693" s="23"/>
      <c r="S693" s="23"/>
    </row>
    <row r="694">
      <c r="B694" s="23"/>
      <c r="C694" s="23"/>
      <c r="E694" s="24"/>
      <c r="G694" s="23"/>
      <c r="H694" s="23"/>
      <c r="I694" s="23"/>
      <c r="J694" s="23"/>
      <c r="K694" s="23"/>
      <c r="L694" s="23"/>
      <c r="M694" s="23"/>
      <c r="N694" s="23"/>
      <c r="O694" s="23"/>
      <c r="Q694" s="23"/>
      <c r="S694" s="23"/>
    </row>
    <row r="695">
      <c r="B695" s="23"/>
      <c r="C695" s="23"/>
      <c r="E695" s="24"/>
      <c r="G695" s="23"/>
      <c r="H695" s="23"/>
      <c r="I695" s="23"/>
      <c r="J695" s="23"/>
      <c r="K695" s="23"/>
      <c r="L695" s="23"/>
      <c r="M695" s="23"/>
      <c r="N695" s="23"/>
      <c r="O695" s="23"/>
      <c r="Q695" s="23"/>
      <c r="S695" s="23"/>
    </row>
    <row r="696">
      <c r="B696" s="23"/>
      <c r="C696" s="23"/>
      <c r="E696" s="24"/>
      <c r="G696" s="23"/>
      <c r="H696" s="23"/>
      <c r="I696" s="23"/>
      <c r="J696" s="23"/>
      <c r="K696" s="23"/>
      <c r="L696" s="23"/>
      <c r="M696" s="23"/>
      <c r="N696" s="23"/>
      <c r="O696" s="23"/>
      <c r="Q696" s="23"/>
      <c r="S696" s="23"/>
    </row>
    <row r="697">
      <c r="B697" s="23"/>
      <c r="C697" s="23"/>
      <c r="E697" s="24"/>
      <c r="G697" s="23"/>
      <c r="H697" s="23"/>
      <c r="I697" s="23"/>
      <c r="J697" s="23"/>
      <c r="K697" s="23"/>
      <c r="L697" s="23"/>
      <c r="M697" s="23"/>
      <c r="N697" s="23"/>
      <c r="O697" s="23"/>
      <c r="Q697" s="23"/>
      <c r="S697" s="23"/>
    </row>
    <row r="698">
      <c r="B698" s="23"/>
      <c r="C698" s="23"/>
      <c r="E698" s="24"/>
      <c r="G698" s="23"/>
      <c r="H698" s="23"/>
      <c r="I698" s="23"/>
      <c r="J698" s="23"/>
      <c r="K698" s="23"/>
      <c r="L698" s="23"/>
      <c r="M698" s="23"/>
      <c r="N698" s="23"/>
      <c r="O698" s="23"/>
      <c r="Q698" s="23"/>
      <c r="S698" s="23"/>
    </row>
    <row r="699">
      <c r="B699" s="23"/>
      <c r="C699" s="23"/>
      <c r="E699" s="24"/>
      <c r="G699" s="23"/>
      <c r="H699" s="23"/>
      <c r="I699" s="23"/>
      <c r="J699" s="23"/>
      <c r="K699" s="23"/>
      <c r="L699" s="23"/>
      <c r="M699" s="23"/>
      <c r="N699" s="23"/>
      <c r="O699" s="23"/>
      <c r="Q699" s="23"/>
      <c r="S699" s="23"/>
    </row>
    <row r="700">
      <c r="B700" s="23"/>
      <c r="C700" s="23"/>
      <c r="E700" s="24"/>
      <c r="G700" s="23"/>
      <c r="H700" s="23"/>
      <c r="I700" s="23"/>
      <c r="J700" s="23"/>
      <c r="K700" s="23"/>
      <c r="L700" s="23"/>
      <c r="M700" s="23"/>
      <c r="N700" s="23"/>
      <c r="O700" s="23"/>
      <c r="Q700" s="23"/>
      <c r="S700" s="23"/>
    </row>
    <row r="701">
      <c r="B701" s="23"/>
      <c r="C701" s="23"/>
      <c r="E701" s="24"/>
      <c r="G701" s="23"/>
      <c r="H701" s="23"/>
      <c r="I701" s="23"/>
      <c r="J701" s="23"/>
      <c r="K701" s="23"/>
      <c r="L701" s="23"/>
      <c r="M701" s="23"/>
      <c r="N701" s="23"/>
      <c r="O701" s="23"/>
      <c r="Q701" s="23"/>
      <c r="S701" s="23"/>
    </row>
    <row r="702">
      <c r="B702" s="23"/>
      <c r="C702" s="23"/>
      <c r="E702" s="24"/>
      <c r="G702" s="23"/>
      <c r="H702" s="23"/>
      <c r="I702" s="23"/>
      <c r="J702" s="23"/>
      <c r="K702" s="23"/>
      <c r="L702" s="23"/>
      <c r="M702" s="23"/>
      <c r="N702" s="23"/>
      <c r="O702" s="23"/>
      <c r="Q702" s="23"/>
      <c r="S702" s="23"/>
    </row>
    <row r="703">
      <c r="B703" s="23"/>
      <c r="C703" s="23"/>
      <c r="E703" s="24"/>
      <c r="G703" s="23"/>
      <c r="H703" s="23"/>
      <c r="I703" s="23"/>
      <c r="J703" s="23"/>
      <c r="K703" s="23"/>
      <c r="L703" s="23"/>
      <c r="M703" s="23"/>
      <c r="N703" s="23"/>
      <c r="O703" s="23"/>
      <c r="Q703" s="23"/>
      <c r="S703" s="23"/>
    </row>
    <row r="704">
      <c r="B704" s="23"/>
      <c r="C704" s="23"/>
      <c r="E704" s="24"/>
      <c r="G704" s="23"/>
      <c r="H704" s="23"/>
      <c r="I704" s="23"/>
      <c r="J704" s="23"/>
      <c r="K704" s="23"/>
      <c r="L704" s="23"/>
      <c r="M704" s="23"/>
      <c r="N704" s="23"/>
      <c r="O704" s="23"/>
      <c r="Q704" s="23"/>
      <c r="S704" s="23"/>
    </row>
    <row r="705">
      <c r="B705" s="23"/>
      <c r="C705" s="23"/>
      <c r="E705" s="24"/>
      <c r="G705" s="23"/>
      <c r="H705" s="23"/>
      <c r="I705" s="23"/>
      <c r="J705" s="23"/>
      <c r="K705" s="23"/>
      <c r="L705" s="23"/>
      <c r="M705" s="23"/>
      <c r="N705" s="23"/>
      <c r="O705" s="23"/>
      <c r="Q705" s="23"/>
      <c r="S705" s="23"/>
    </row>
    <row r="706">
      <c r="B706" s="23"/>
      <c r="C706" s="23"/>
      <c r="E706" s="24"/>
      <c r="G706" s="23"/>
      <c r="H706" s="23"/>
      <c r="I706" s="23"/>
      <c r="J706" s="23"/>
      <c r="K706" s="23"/>
      <c r="L706" s="23"/>
      <c r="M706" s="23"/>
      <c r="N706" s="23"/>
      <c r="O706" s="23"/>
      <c r="Q706" s="23"/>
      <c r="S706" s="23"/>
    </row>
    <row r="707">
      <c r="B707" s="23"/>
      <c r="C707" s="23"/>
      <c r="E707" s="24"/>
      <c r="G707" s="23"/>
      <c r="H707" s="23"/>
      <c r="I707" s="23"/>
      <c r="J707" s="23"/>
      <c r="K707" s="23"/>
      <c r="L707" s="23"/>
      <c r="M707" s="23"/>
      <c r="N707" s="23"/>
      <c r="O707" s="23"/>
      <c r="Q707" s="23"/>
      <c r="S707" s="23"/>
    </row>
    <row r="708">
      <c r="B708" s="23"/>
      <c r="C708" s="23"/>
      <c r="E708" s="24"/>
      <c r="G708" s="23"/>
      <c r="H708" s="23"/>
      <c r="I708" s="23"/>
      <c r="J708" s="23"/>
      <c r="K708" s="23"/>
      <c r="L708" s="23"/>
      <c r="M708" s="23"/>
      <c r="N708" s="23"/>
      <c r="O708" s="23"/>
      <c r="Q708" s="23"/>
      <c r="S708" s="23"/>
    </row>
    <row r="709">
      <c r="B709" s="23"/>
      <c r="C709" s="23"/>
      <c r="E709" s="24"/>
      <c r="G709" s="23"/>
      <c r="H709" s="23"/>
      <c r="I709" s="23"/>
      <c r="J709" s="23"/>
      <c r="K709" s="23"/>
      <c r="L709" s="23"/>
      <c r="M709" s="23"/>
      <c r="N709" s="23"/>
      <c r="O709" s="23"/>
      <c r="Q709" s="23"/>
      <c r="S709" s="23"/>
    </row>
    <row r="710">
      <c r="B710" s="23"/>
      <c r="C710" s="23"/>
      <c r="E710" s="24"/>
      <c r="G710" s="23"/>
      <c r="H710" s="23"/>
      <c r="I710" s="23"/>
      <c r="J710" s="23"/>
      <c r="K710" s="23"/>
      <c r="L710" s="23"/>
      <c r="M710" s="23"/>
      <c r="N710" s="23"/>
      <c r="O710" s="23"/>
      <c r="Q710" s="23"/>
      <c r="S710" s="23"/>
    </row>
    <row r="711">
      <c r="B711" s="23"/>
      <c r="C711" s="23"/>
      <c r="E711" s="24"/>
      <c r="G711" s="23"/>
      <c r="H711" s="23"/>
      <c r="I711" s="23"/>
      <c r="J711" s="23"/>
      <c r="K711" s="23"/>
      <c r="L711" s="23"/>
      <c r="M711" s="23"/>
      <c r="N711" s="23"/>
      <c r="O711" s="23"/>
      <c r="Q711" s="23"/>
      <c r="S711" s="23"/>
    </row>
    <row r="712">
      <c r="B712" s="23"/>
      <c r="C712" s="23"/>
      <c r="E712" s="24"/>
      <c r="G712" s="23"/>
      <c r="H712" s="23"/>
      <c r="I712" s="23"/>
      <c r="J712" s="23"/>
      <c r="K712" s="23"/>
      <c r="L712" s="23"/>
      <c r="M712" s="23"/>
      <c r="N712" s="23"/>
      <c r="O712" s="23"/>
      <c r="Q712" s="23"/>
      <c r="S712" s="23"/>
    </row>
    <row r="713">
      <c r="B713" s="23"/>
      <c r="C713" s="23"/>
      <c r="E713" s="24"/>
      <c r="G713" s="23"/>
      <c r="H713" s="23"/>
      <c r="I713" s="23"/>
      <c r="J713" s="23"/>
      <c r="K713" s="23"/>
      <c r="L713" s="23"/>
      <c r="M713" s="23"/>
      <c r="N713" s="23"/>
      <c r="O713" s="23"/>
      <c r="Q713" s="23"/>
      <c r="S713" s="23"/>
    </row>
    <row r="714">
      <c r="B714" s="23"/>
      <c r="C714" s="23"/>
      <c r="E714" s="24"/>
      <c r="G714" s="23"/>
      <c r="H714" s="23"/>
      <c r="I714" s="23"/>
      <c r="J714" s="23"/>
      <c r="K714" s="23"/>
      <c r="L714" s="23"/>
      <c r="M714" s="23"/>
      <c r="N714" s="23"/>
      <c r="O714" s="23"/>
      <c r="Q714" s="23"/>
      <c r="S714" s="23"/>
    </row>
    <row r="715">
      <c r="B715" s="23"/>
      <c r="C715" s="23"/>
      <c r="E715" s="24"/>
      <c r="G715" s="23"/>
      <c r="H715" s="23"/>
      <c r="I715" s="23"/>
      <c r="J715" s="23"/>
      <c r="K715" s="23"/>
      <c r="L715" s="23"/>
      <c r="M715" s="23"/>
      <c r="N715" s="23"/>
      <c r="O715" s="23"/>
      <c r="Q715" s="23"/>
      <c r="S715" s="23"/>
    </row>
    <row r="716">
      <c r="B716" s="23"/>
      <c r="C716" s="23"/>
      <c r="E716" s="24"/>
      <c r="G716" s="23"/>
      <c r="H716" s="23"/>
      <c r="I716" s="23"/>
      <c r="J716" s="23"/>
      <c r="K716" s="23"/>
      <c r="L716" s="23"/>
      <c r="M716" s="23"/>
      <c r="N716" s="23"/>
      <c r="O716" s="23"/>
      <c r="Q716" s="23"/>
      <c r="S716" s="23"/>
    </row>
    <row r="717">
      <c r="B717" s="23"/>
      <c r="C717" s="23"/>
      <c r="E717" s="24"/>
      <c r="G717" s="23"/>
      <c r="H717" s="23"/>
      <c r="I717" s="23"/>
      <c r="J717" s="23"/>
      <c r="K717" s="23"/>
      <c r="L717" s="23"/>
      <c r="M717" s="23"/>
      <c r="N717" s="23"/>
      <c r="O717" s="23"/>
      <c r="Q717" s="23"/>
      <c r="S717" s="23"/>
    </row>
    <row r="718">
      <c r="B718" s="23"/>
      <c r="C718" s="23"/>
      <c r="E718" s="24"/>
      <c r="G718" s="23"/>
      <c r="H718" s="23"/>
      <c r="I718" s="23"/>
      <c r="J718" s="23"/>
      <c r="K718" s="23"/>
      <c r="L718" s="23"/>
      <c r="M718" s="23"/>
      <c r="N718" s="23"/>
      <c r="O718" s="23"/>
      <c r="Q718" s="23"/>
      <c r="S718" s="23"/>
    </row>
    <row r="719">
      <c r="B719" s="23"/>
      <c r="C719" s="23"/>
      <c r="E719" s="24"/>
      <c r="G719" s="23"/>
      <c r="H719" s="23"/>
      <c r="I719" s="23"/>
      <c r="J719" s="23"/>
      <c r="K719" s="23"/>
      <c r="L719" s="23"/>
      <c r="M719" s="23"/>
      <c r="N719" s="23"/>
      <c r="O719" s="23"/>
      <c r="Q719" s="23"/>
      <c r="S719" s="23"/>
    </row>
    <row r="720">
      <c r="B720" s="23"/>
      <c r="C720" s="23"/>
      <c r="E720" s="24"/>
      <c r="G720" s="23"/>
      <c r="H720" s="23"/>
      <c r="I720" s="23"/>
      <c r="J720" s="23"/>
      <c r="K720" s="23"/>
      <c r="L720" s="23"/>
      <c r="M720" s="23"/>
      <c r="N720" s="23"/>
      <c r="O720" s="23"/>
      <c r="Q720" s="23"/>
      <c r="S720" s="23"/>
    </row>
    <row r="721">
      <c r="B721" s="23"/>
      <c r="C721" s="23"/>
      <c r="E721" s="24"/>
      <c r="G721" s="23"/>
      <c r="H721" s="23"/>
      <c r="I721" s="23"/>
      <c r="J721" s="23"/>
      <c r="K721" s="23"/>
      <c r="L721" s="23"/>
      <c r="M721" s="23"/>
      <c r="N721" s="23"/>
      <c r="O721" s="23"/>
      <c r="Q721" s="23"/>
      <c r="S721" s="23"/>
    </row>
    <row r="722">
      <c r="B722" s="23"/>
      <c r="C722" s="23"/>
      <c r="E722" s="24"/>
      <c r="G722" s="23"/>
      <c r="H722" s="23"/>
      <c r="I722" s="23"/>
      <c r="J722" s="23"/>
      <c r="K722" s="23"/>
      <c r="L722" s="23"/>
      <c r="M722" s="23"/>
      <c r="N722" s="23"/>
      <c r="O722" s="23"/>
      <c r="Q722" s="23"/>
      <c r="S722" s="23"/>
    </row>
    <row r="723">
      <c r="B723" s="23"/>
      <c r="C723" s="23"/>
      <c r="E723" s="24"/>
      <c r="G723" s="23"/>
      <c r="H723" s="23"/>
      <c r="I723" s="23"/>
      <c r="J723" s="23"/>
      <c r="K723" s="23"/>
      <c r="L723" s="23"/>
      <c r="M723" s="23"/>
      <c r="N723" s="23"/>
      <c r="O723" s="23"/>
      <c r="Q723" s="23"/>
      <c r="S723" s="23"/>
    </row>
    <row r="724">
      <c r="B724" s="23"/>
      <c r="C724" s="23"/>
      <c r="E724" s="24"/>
      <c r="G724" s="23"/>
      <c r="H724" s="23"/>
      <c r="I724" s="23"/>
      <c r="J724" s="23"/>
      <c r="K724" s="23"/>
      <c r="L724" s="23"/>
      <c r="M724" s="23"/>
      <c r="N724" s="23"/>
      <c r="O724" s="23"/>
      <c r="Q724" s="23"/>
      <c r="S724" s="23"/>
    </row>
    <row r="725">
      <c r="B725" s="23"/>
      <c r="C725" s="23"/>
      <c r="E725" s="24"/>
      <c r="G725" s="23"/>
      <c r="H725" s="23"/>
      <c r="I725" s="23"/>
      <c r="J725" s="23"/>
      <c r="K725" s="23"/>
      <c r="L725" s="23"/>
      <c r="M725" s="23"/>
      <c r="N725" s="23"/>
      <c r="O725" s="23"/>
      <c r="Q725" s="23"/>
      <c r="S725" s="23"/>
    </row>
    <row r="726">
      <c r="B726" s="23"/>
      <c r="C726" s="23"/>
      <c r="E726" s="24"/>
      <c r="G726" s="23"/>
      <c r="H726" s="23"/>
      <c r="I726" s="23"/>
      <c r="J726" s="23"/>
      <c r="K726" s="23"/>
      <c r="L726" s="23"/>
      <c r="M726" s="23"/>
      <c r="N726" s="23"/>
      <c r="O726" s="23"/>
      <c r="Q726" s="23"/>
      <c r="S726" s="23"/>
    </row>
    <row r="727">
      <c r="B727" s="23"/>
      <c r="C727" s="23"/>
      <c r="E727" s="24"/>
      <c r="G727" s="23"/>
      <c r="H727" s="23"/>
      <c r="I727" s="23"/>
      <c r="J727" s="23"/>
      <c r="K727" s="23"/>
      <c r="L727" s="23"/>
      <c r="M727" s="23"/>
      <c r="N727" s="23"/>
      <c r="O727" s="23"/>
      <c r="Q727" s="23"/>
      <c r="S727" s="23"/>
    </row>
    <row r="728">
      <c r="B728" s="23"/>
      <c r="C728" s="23"/>
      <c r="E728" s="24"/>
      <c r="G728" s="23"/>
      <c r="H728" s="23"/>
      <c r="I728" s="23"/>
      <c r="J728" s="23"/>
      <c r="K728" s="23"/>
      <c r="L728" s="23"/>
      <c r="M728" s="23"/>
      <c r="N728" s="23"/>
      <c r="O728" s="23"/>
      <c r="Q728" s="23"/>
      <c r="S728" s="23"/>
    </row>
    <row r="729">
      <c r="B729" s="23"/>
      <c r="C729" s="23"/>
      <c r="E729" s="24"/>
      <c r="G729" s="23"/>
      <c r="H729" s="23"/>
      <c r="I729" s="23"/>
      <c r="J729" s="23"/>
      <c r="K729" s="23"/>
      <c r="L729" s="23"/>
      <c r="M729" s="23"/>
      <c r="N729" s="23"/>
      <c r="O729" s="23"/>
      <c r="Q729" s="23"/>
      <c r="S729" s="23"/>
    </row>
    <row r="730">
      <c r="B730" s="23"/>
      <c r="C730" s="23"/>
      <c r="E730" s="24"/>
      <c r="G730" s="23"/>
      <c r="H730" s="23"/>
      <c r="I730" s="23"/>
      <c r="J730" s="23"/>
      <c r="K730" s="23"/>
      <c r="L730" s="23"/>
      <c r="M730" s="23"/>
      <c r="N730" s="23"/>
      <c r="O730" s="23"/>
      <c r="Q730" s="23"/>
      <c r="S730" s="23"/>
    </row>
    <row r="731">
      <c r="B731" s="23"/>
      <c r="C731" s="23"/>
      <c r="E731" s="24"/>
      <c r="G731" s="23"/>
      <c r="H731" s="23"/>
      <c r="I731" s="23"/>
      <c r="J731" s="23"/>
      <c r="K731" s="23"/>
      <c r="L731" s="23"/>
      <c r="M731" s="23"/>
      <c r="N731" s="23"/>
      <c r="O731" s="23"/>
      <c r="Q731" s="23"/>
      <c r="S731" s="23"/>
    </row>
    <row r="732">
      <c r="B732" s="23"/>
      <c r="C732" s="23"/>
      <c r="E732" s="24"/>
      <c r="G732" s="23"/>
      <c r="H732" s="23"/>
      <c r="I732" s="23"/>
      <c r="J732" s="23"/>
      <c r="K732" s="23"/>
      <c r="L732" s="23"/>
      <c r="M732" s="23"/>
      <c r="N732" s="23"/>
      <c r="O732" s="23"/>
      <c r="Q732" s="23"/>
      <c r="S732" s="23"/>
    </row>
    <row r="733">
      <c r="B733" s="23"/>
      <c r="C733" s="23"/>
      <c r="E733" s="24"/>
      <c r="G733" s="23"/>
      <c r="H733" s="23"/>
      <c r="I733" s="23"/>
      <c r="J733" s="23"/>
      <c r="K733" s="23"/>
      <c r="L733" s="23"/>
      <c r="M733" s="23"/>
      <c r="N733" s="23"/>
      <c r="O733" s="23"/>
      <c r="Q733" s="23"/>
      <c r="S733" s="23"/>
    </row>
    <row r="734">
      <c r="B734" s="23"/>
      <c r="C734" s="23"/>
      <c r="E734" s="24"/>
      <c r="G734" s="23"/>
      <c r="H734" s="23"/>
      <c r="I734" s="23"/>
      <c r="J734" s="23"/>
      <c r="K734" s="23"/>
      <c r="L734" s="23"/>
      <c r="M734" s="23"/>
      <c r="N734" s="23"/>
      <c r="O734" s="23"/>
      <c r="Q734" s="23"/>
      <c r="S734" s="23"/>
    </row>
    <row r="735">
      <c r="B735" s="23"/>
      <c r="C735" s="23"/>
      <c r="E735" s="24"/>
      <c r="G735" s="23"/>
      <c r="H735" s="23"/>
      <c r="I735" s="23"/>
      <c r="J735" s="23"/>
      <c r="K735" s="23"/>
      <c r="L735" s="23"/>
      <c r="M735" s="23"/>
      <c r="N735" s="23"/>
      <c r="O735" s="23"/>
      <c r="Q735" s="23"/>
      <c r="S735" s="23"/>
    </row>
    <row r="736">
      <c r="B736" s="23"/>
      <c r="C736" s="23"/>
      <c r="E736" s="24"/>
      <c r="G736" s="23"/>
      <c r="H736" s="23"/>
      <c r="I736" s="23"/>
      <c r="J736" s="23"/>
      <c r="K736" s="23"/>
      <c r="L736" s="23"/>
      <c r="M736" s="23"/>
      <c r="N736" s="23"/>
      <c r="O736" s="23"/>
      <c r="Q736" s="23"/>
      <c r="S736" s="23"/>
    </row>
    <row r="737">
      <c r="B737" s="23"/>
      <c r="C737" s="23"/>
      <c r="E737" s="24"/>
      <c r="G737" s="23"/>
      <c r="H737" s="23"/>
      <c r="I737" s="23"/>
      <c r="J737" s="23"/>
      <c r="K737" s="23"/>
      <c r="L737" s="23"/>
      <c r="M737" s="23"/>
      <c r="N737" s="23"/>
      <c r="O737" s="23"/>
      <c r="Q737" s="23"/>
      <c r="S737" s="23"/>
    </row>
    <row r="738">
      <c r="B738" s="23"/>
      <c r="C738" s="23"/>
      <c r="E738" s="24"/>
      <c r="G738" s="23"/>
      <c r="H738" s="23"/>
      <c r="I738" s="23"/>
      <c r="J738" s="23"/>
      <c r="K738" s="23"/>
      <c r="L738" s="23"/>
      <c r="M738" s="23"/>
      <c r="N738" s="23"/>
      <c r="O738" s="23"/>
      <c r="Q738" s="23"/>
      <c r="S738" s="23"/>
    </row>
    <row r="739">
      <c r="B739" s="23"/>
      <c r="C739" s="23"/>
      <c r="E739" s="24"/>
      <c r="G739" s="23"/>
      <c r="H739" s="23"/>
      <c r="I739" s="23"/>
      <c r="J739" s="23"/>
      <c r="K739" s="23"/>
      <c r="L739" s="23"/>
      <c r="M739" s="23"/>
      <c r="N739" s="23"/>
      <c r="O739" s="23"/>
      <c r="Q739" s="23"/>
      <c r="S739" s="23"/>
    </row>
    <row r="740">
      <c r="B740" s="23"/>
      <c r="C740" s="23"/>
      <c r="E740" s="24"/>
      <c r="G740" s="23"/>
      <c r="H740" s="23"/>
      <c r="I740" s="23"/>
      <c r="J740" s="23"/>
      <c r="K740" s="23"/>
      <c r="L740" s="23"/>
      <c r="M740" s="23"/>
      <c r="N740" s="23"/>
      <c r="O740" s="23"/>
      <c r="Q740" s="23"/>
      <c r="S740" s="23"/>
    </row>
    <row r="741">
      <c r="B741" s="23"/>
      <c r="C741" s="23"/>
      <c r="E741" s="24"/>
      <c r="G741" s="23"/>
      <c r="H741" s="23"/>
      <c r="I741" s="23"/>
      <c r="J741" s="23"/>
      <c r="K741" s="23"/>
      <c r="L741" s="23"/>
      <c r="M741" s="23"/>
      <c r="N741" s="23"/>
      <c r="O741" s="23"/>
      <c r="Q741" s="23"/>
      <c r="S741" s="23"/>
    </row>
    <row r="742">
      <c r="B742" s="23"/>
      <c r="C742" s="23"/>
      <c r="E742" s="24"/>
      <c r="G742" s="23"/>
      <c r="H742" s="23"/>
      <c r="I742" s="23"/>
      <c r="J742" s="23"/>
      <c r="K742" s="23"/>
      <c r="L742" s="23"/>
      <c r="M742" s="23"/>
      <c r="N742" s="23"/>
      <c r="O742" s="23"/>
      <c r="Q742" s="23"/>
      <c r="S742" s="23"/>
    </row>
    <row r="743">
      <c r="B743" s="23"/>
      <c r="C743" s="23"/>
      <c r="E743" s="24"/>
      <c r="G743" s="23"/>
      <c r="H743" s="23"/>
      <c r="I743" s="23"/>
      <c r="J743" s="23"/>
      <c r="K743" s="23"/>
      <c r="L743" s="23"/>
      <c r="M743" s="23"/>
      <c r="N743" s="23"/>
      <c r="O743" s="23"/>
      <c r="Q743" s="23"/>
      <c r="S743" s="23"/>
    </row>
    <row r="744">
      <c r="B744" s="23"/>
      <c r="C744" s="23"/>
      <c r="E744" s="24"/>
      <c r="G744" s="23"/>
      <c r="H744" s="23"/>
      <c r="I744" s="23"/>
      <c r="J744" s="23"/>
      <c r="K744" s="23"/>
      <c r="L744" s="23"/>
      <c r="M744" s="23"/>
      <c r="N744" s="23"/>
      <c r="O744" s="23"/>
      <c r="Q744" s="23"/>
      <c r="S744" s="23"/>
    </row>
    <row r="745">
      <c r="B745" s="23"/>
      <c r="C745" s="23"/>
      <c r="E745" s="24"/>
      <c r="G745" s="23"/>
      <c r="H745" s="23"/>
      <c r="I745" s="23"/>
      <c r="J745" s="23"/>
      <c r="K745" s="23"/>
      <c r="L745" s="23"/>
      <c r="M745" s="23"/>
      <c r="N745" s="23"/>
      <c r="O745" s="23"/>
      <c r="Q745" s="23"/>
      <c r="S745" s="23"/>
    </row>
    <row r="746">
      <c r="B746" s="23"/>
      <c r="C746" s="23"/>
      <c r="E746" s="24"/>
      <c r="G746" s="23"/>
      <c r="H746" s="23"/>
      <c r="I746" s="23"/>
      <c r="J746" s="23"/>
      <c r="K746" s="23"/>
      <c r="L746" s="23"/>
      <c r="M746" s="23"/>
      <c r="N746" s="23"/>
      <c r="O746" s="23"/>
      <c r="Q746" s="23"/>
      <c r="S746" s="23"/>
    </row>
    <row r="747">
      <c r="B747" s="23"/>
      <c r="C747" s="23"/>
      <c r="E747" s="24"/>
      <c r="G747" s="23"/>
      <c r="H747" s="23"/>
      <c r="I747" s="23"/>
      <c r="J747" s="23"/>
      <c r="K747" s="23"/>
      <c r="L747" s="23"/>
      <c r="M747" s="23"/>
      <c r="N747" s="23"/>
      <c r="O747" s="23"/>
      <c r="Q747" s="23"/>
      <c r="S747" s="23"/>
    </row>
    <row r="748">
      <c r="B748" s="23"/>
      <c r="C748" s="23"/>
      <c r="E748" s="24"/>
      <c r="G748" s="23"/>
      <c r="H748" s="23"/>
      <c r="I748" s="23"/>
      <c r="J748" s="23"/>
      <c r="K748" s="23"/>
      <c r="L748" s="23"/>
      <c r="M748" s="23"/>
      <c r="N748" s="23"/>
      <c r="O748" s="23"/>
      <c r="Q748" s="23"/>
      <c r="S748" s="23"/>
    </row>
    <row r="749">
      <c r="B749" s="23"/>
      <c r="C749" s="23"/>
      <c r="E749" s="24"/>
      <c r="G749" s="23"/>
      <c r="H749" s="23"/>
      <c r="I749" s="23"/>
      <c r="J749" s="23"/>
      <c r="K749" s="23"/>
      <c r="L749" s="23"/>
      <c r="M749" s="23"/>
      <c r="N749" s="23"/>
      <c r="O749" s="23"/>
      <c r="Q749" s="23"/>
      <c r="S749" s="23"/>
    </row>
    <row r="750">
      <c r="B750" s="23"/>
      <c r="C750" s="23"/>
      <c r="E750" s="24"/>
      <c r="G750" s="23"/>
      <c r="H750" s="23"/>
      <c r="I750" s="23"/>
      <c r="J750" s="23"/>
      <c r="K750" s="23"/>
      <c r="L750" s="23"/>
      <c r="M750" s="23"/>
      <c r="N750" s="23"/>
      <c r="O750" s="23"/>
      <c r="Q750" s="23"/>
      <c r="S750" s="23"/>
    </row>
    <row r="751">
      <c r="B751" s="23"/>
      <c r="C751" s="23"/>
      <c r="E751" s="24"/>
      <c r="G751" s="23"/>
      <c r="H751" s="23"/>
      <c r="I751" s="23"/>
      <c r="J751" s="23"/>
      <c r="K751" s="23"/>
      <c r="L751" s="23"/>
      <c r="M751" s="23"/>
      <c r="N751" s="23"/>
      <c r="O751" s="23"/>
      <c r="Q751" s="23"/>
      <c r="S751" s="23"/>
    </row>
    <row r="752">
      <c r="B752" s="23"/>
      <c r="C752" s="23"/>
      <c r="E752" s="24"/>
      <c r="G752" s="23"/>
      <c r="H752" s="23"/>
      <c r="I752" s="23"/>
      <c r="J752" s="23"/>
      <c r="K752" s="23"/>
      <c r="L752" s="23"/>
      <c r="M752" s="23"/>
      <c r="N752" s="23"/>
      <c r="O752" s="23"/>
      <c r="Q752" s="23"/>
      <c r="S752" s="23"/>
    </row>
    <row r="753">
      <c r="B753" s="23"/>
      <c r="C753" s="23"/>
      <c r="E753" s="24"/>
      <c r="G753" s="23"/>
      <c r="H753" s="23"/>
      <c r="I753" s="23"/>
      <c r="J753" s="23"/>
      <c r="K753" s="23"/>
      <c r="L753" s="23"/>
      <c r="M753" s="23"/>
      <c r="N753" s="23"/>
      <c r="O753" s="23"/>
      <c r="Q753" s="23"/>
      <c r="S753" s="23"/>
    </row>
    <row r="754">
      <c r="B754" s="23"/>
      <c r="C754" s="23"/>
      <c r="E754" s="24"/>
      <c r="G754" s="23"/>
      <c r="H754" s="23"/>
      <c r="I754" s="23"/>
      <c r="J754" s="23"/>
      <c r="K754" s="23"/>
      <c r="L754" s="23"/>
      <c r="M754" s="23"/>
      <c r="N754" s="23"/>
      <c r="O754" s="23"/>
      <c r="Q754" s="23"/>
      <c r="S754" s="23"/>
    </row>
    <row r="755">
      <c r="B755" s="23"/>
      <c r="C755" s="23"/>
      <c r="E755" s="24"/>
      <c r="G755" s="23"/>
      <c r="H755" s="23"/>
      <c r="I755" s="23"/>
      <c r="J755" s="23"/>
      <c r="K755" s="23"/>
      <c r="L755" s="23"/>
      <c r="M755" s="23"/>
      <c r="N755" s="23"/>
      <c r="O755" s="23"/>
      <c r="Q755" s="23"/>
      <c r="S755" s="23"/>
    </row>
    <row r="756">
      <c r="B756" s="23"/>
      <c r="C756" s="23"/>
      <c r="E756" s="24"/>
      <c r="G756" s="23"/>
      <c r="H756" s="23"/>
      <c r="I756" s="23"/>
      <c r="J756" s="23"/>
      <c r="K756" s="23"/>
      <c r="L756" s="23"/>
      <c r="M756" s="23"/>
      <c r="N756" s="23"/>
      <c r="O756" s="23"/>
      <c r="Q756" s="23"/>
      <c r="S756" s="23"/>
    </row>
    <row r="757">
      <c r="B757" s="23"/>
      <c r="C757" s="23"/>
      <c r="E757" s="24"/>
      <c r="G757" s="23"/>
      <c r="H757" s="23"/>
      <c r="I757" s="23"/>
      <c r="J757" s="23"/>
      <c r="K757" s="23"/>
      <c r="L757" s="23"/>
      <c r="M757" s="23"/>
      <c r="N757" s="23"/>
      <c r="O757" s="23"/>
      <c r="Q757" s="23"/>
      <c r="S757" s="23"/>
    </row>
    <row r="758">
      <c r="B758" s="23"/>
      <c r="C758" s="23"/>
      <c r="E758" s="24"/>
      <c r="G758" s="23"/>
      <c r="H758" s="23"/>
      <c r="I758" s="23"/>
      <c r="J758" s="23"/>
      <c r="K758" s="23"/>
      <c r="L758" s="23"/>
      <c r="M758" s="23"/>
      <c r="N758" s="23"/>
      <c r="O758" s="23"/>
      <c r="Q758" s="23"/>
      <c r="S758" s="23"/>
    </row>
    <row r="759">
      <c r="B759" s="23"/>
      <c r="C759" s="23"/>
      <c r="E759" s="24"/>
      <c r="G759" s="23"/>
      <c r="H759" s="23"/>
      <c r="I759" s="23"/>
      <c r="J759" s="23"/>
      <c r="K759" s="23"/>
      <c r="L759" s="23"/>
      <c r="M759" s="23"/>
      <c r="N759" s="23"/>
      <c r="O759" s="23"/>
      <c r="Q759" s="23"/>
      <c r="S759" s="23"/>
    </row>
    <row r="760">
      <c r="B760" s="23"/>
      <c r="C760" s="23"/>
      <c r="E760" s="24"/>
      <c r="G760" s="23"/>
      <c r="H760" s="23"/>
      <c r="I760" s="23"/>
      <c r="J760" s="23"/>
      <c r="K760" s="23"/>
      <c r="L760" s="23"/>
      <c r="M760" s="23"/>
      <c r="N760" s="23"/>
      <c r="O760" s="23"/>
      <c r="Q760" s="23"/>
      <c r="S760" s="23"/>
    </row>
    <row r="761">
      <c r="B761" s="23"/>
      <c r="C761" s="23"/>
      <c r="E761" s="24"/>
      <c r="G761" s="23"/>
      <c r="H761" s="23"/>
      <c r="I761" s="23"/>
      <c r="J761" s="23"/>
      <c r="K761" s="23"/>
      <c r="L761" s="23"/>
      <c r="M761" s="23"/>
      <c r="N761" s="23"/>
      <c r="O761" s="23"/>
      <c r="Q761" s="23"/>
      <c r="S761" s="23"/>
    </row>
    <row r="762">
      <c r="B762" s="23"/>
      <c r="C762" s="23"/>
      <c r="E762" s="24"/>
      <c r="G762" s="23"/>
      <c r="H762" s="23"/>
      <c r="I762" s="23"/>
      <c r="J762" s="23"/>
      <c r="K762" s="23"/>
      <c r="L762" s="23"/>
      <c r="M762" s="23"/>
      <c r="N762" s="23"/>
      <c r="O762" s="23"/>
      <c r="Q762" s="23"/>
      <c r="S762" s="23"/>
    </row>
    <row r="763">
      <c r="B763" s="23"/>
      <c r="C763" s="23"/>
      <c r="E763" s="24"/>
      <c r="G763" s="23"/>
      <c r="H763" s="23"/>
      <c r="I763" s="23"/>
      <c r="J763" s="23"/>
      <c r="K763" s="23"/>
      <c r="L763" s="23"/>
      <c r="M763" s="23"/>
      <c r="N763" s="23"/>
      <c r="O763" s="23"/>
      <c r="Q763" s="23"/>
      <c r="S763" s="23"/>
    </row>
    <row r="764">
      <c r="B764" s="23"/>
      <c r="C764" s="23"/>
      <c r="E764" s="24"/>
      <c r="G764" s="23"/>
      <c r="H764" s="23"/>
      <c r="I764" s="23"/>
      <c r="J764" s="23"/>
      <c r="K764" s="23"/>
      <c r="L764" s="23"/>
      <c r="M764" s="23"/>
      <c r="N764" s="23"/>
      <c r="O764" s="23"/>
      <c r="Q764" s="23"/>
      <c r="S764" s="23"/>
    </row>
    <row r="765">
      <c r="B765" s="23"/>
      <c r="C765" s="23"/>
      <c r="E765" s="24"/>
      <c r="G765" s="23"/>
      <c r="H765" s="23"/>
      <c r="I765" s="23"/>
      <c r="J765" s="23"/>
      <c r="K765" s="23"/>
      <c r="L765" s="23"/>
      <c r="M765" s="23"/>
      <c r="N765" s="23"/>
      <c r="O765" s="23"/>
      <c r="Q765" s="23"/>
      <c r="S765" s="23"/>
    </row>
    <row r="766">
      <c r="B766" s="23"/>
      <c r="C766" s="23"/>
      <c r="E766" s="24"/>
      <c r="G766" s="23"/>
      <c r="H766" s="23"/>
      <c r="I766" s="23"/>
      <c r="J766" s="23"/>
      <c r="K766" s="23"/>
      <c r="L766" s="23"/>
      <c r="M766" s="23"/>
      <c r="N766" s="23"/>
      <c r="O766" s="23"/>
      <c r="Q766" s="23"/>
      <c r="S766" s="23"/>
    </row>
    <row r="767">
      <c r="B767" s="23"/>
      <c r="C767" s="23"/>
      <c r="E767" s="24"/>
      <c r="G767" s="23"/>
      <c r="H767" s="23"/>
      <c r="I767" s="23"/>
      <c r="J767" s="23"/>
      <c r="K767" s="23"/>
      <c r="L767" s="23"/>
      <c r="M767" s="23"/>
      <c r="N767" s="23"/>
      <c r="O767" s="23"/>
      <c r="Q767" s="23"/>
      <c r="S767" s="23"/>
    </row>
    <row r="768">
      <c r="B768" s="23"/>
      <c r="C768" s="23"/>
      <c r="E768" s="24"/>
      <c r="G768" s="23"/>
      <c r="H768" s="23"/>
      <c r="I768" s="23"/>
      <c r="J768" s="23"/>
      <c r="K768" s="23"/>
      <c r="L768" s="23"/>
      <c r="M768" s="23"/>
      <c r="N768" s="23"/>
      <c r="O768" s="23"/>
      <c r="Q768" s="23"/>
      <c r="S768" s="23"/>
    </row>
    <row r="769">
      <c r="B769" s="23"/>
      <c r="C769" s="23"/>
      <c r="E769" s="24"/>
      <c r="G769" s="23"/>
      <c r="H769" s="23"/>
      <c r="I769" s="23"/>
      <c r="J769" s="23"/>
      <c r="K769" s="23"/>
      <c r="L769" s="23"/>
      <c r="M769" s="23"/>
      <c r="N769" s="23"/>
      <c r="O769" s="23"/>
      <c r="Q769" s="23"/>
      <c r="S769" s="23"/>
    </row>
    <row r="770">
      <c r="B770" s="23"/>
      <c r="C770" s="23"/>
      <c r="E770" s="24"/>
      <c r="G770" s="23"/>
      <c r="H770" s="23"/>
      <c r="I770" s="23"/>
      <c r="J770" s="23"/>
      <c r="K770" s="23"/>
      <c r="L770" s="23"/>
      <c r="M770" s="23"/>
      <c r="N770" s="23"/>
      <c r="O770" s="23"/>
      <c r="Q770" s="23"/>
      <c r="S770" s="23"/>
    </row>
    <row r="771">
      <c r="B771" s="23"/>
      <c r="C771" s="23"/>
      <c r="E771" s="24"/>
      <c r="G771" s="23"/>
      <c r="H771" s="23"/>
      <c r="I771" s="23"/>
      <c r="J771" s="23"/>
      <c r="K771" s="23"/>
      <c r="L771" s="23"/>
      <c r="M771" s="23"/>
      <c r="N771" s="23"/>
      <c r="O771" s="23"/>
      <c r="Q771" s="23"/>
      <c r="S771" s="23"/>
    </row>
    <row r="772">
      <c r="B772" s="23"/>
      <c r="C772" s="23"/>
      <c r="E772" s="24"/>
      <c r="G772" s="23"/>
      <c r="H772" s="23"/>
      <c r="I772" s="23"/>
      <c r="J772" s="23"/>
      <c r="K772" s="23"/>
      <c r="L772" s="23"/>
      <c r="M772" s="23"/>
      <c r="N772" s="23"/>
      <c r="O772" s="23"/>
      <c r="Q772" s="23"/>
      <c r="S772" s="23"/>
    </row>
    <row r="773">
      <c r="B773" s="23"/>
      <c r="C773" s="23"/>
      <c r="E773" s="24"/>
      <c r="G773" s="23"/>
      <c r="H773" s="23"/>
      <c r="I773" s="23"/>
      <c r="J773" s="23"/>
      <c r="K773" s="23"/>
      <c r="L773" s="23"/>
      <c r="M773" s="23"/>
      <c r="N773" s="23"/>
      <c r="O773" s="23"/>
      <c r="Q773" s="23"/>
      <c r="S773" s="23"/>
    </row>
    <row r="774">
      <c r="B774" s="23"/>
      <c r="C774" s="23"/>
      <c r="E774" s="24"/>
      <c r="G774" s="23"/>
      <c r="H774" s="23"/>
      <c r="I774" s="23"/>
      <c r="J774" s="23"/>
      <c r="K774" s="23"/>
      <c r="L774" s="23"/>
      <c r="M774" s="23"/>
      <c r="N774" s="23"/>
      <c r="O774" s="23"/>
      <c r="Q774" s="23"/>
      <c r="S774" s="23"/>
    </row>
    <row r="775">
      <c r="B775" s="23"/>
      <c r="C775" s="23"/>
      <c r="E775" s="24"/>
      <c r="G775" s="23"/>
      <c r="H775" s="23"/>
      <c r="I775" s="23"/>
      <c r="J775" s="23"/>
      <c r="K775" s="23"/>
      <c r="L775" s="23"/>
      <c r="M775" s="23"/>
      <c r="N775" s="23"/>
      <c r="O775" s="23"/>
      <c r="Q775" s="23"/>
      <c r="S775" s="23"/>
    </row>
    <row r="776">
      <c r="B776" s="23"/>
      <c r="C776" s="23"/>
      <c r="E776" s="24"/>
      <c r="G776" s="23"/>
      <c r="H776" s="23"/>
      <c r="I776" s="23"/>
      <c r="J776" s="23"/>
      <c r="K776" s="23"/>
      <c r="L776" s="23"/>
      <c r="M776" s="23"/>
      <c r="N776" s="23"/>
      <c r="O776" s="23"/>
      <c r="Q776" s="23"/>
      <c r="S776" s="23"/>
    </row>
    <row r="777">
      <c r="B777" s="23"/>
      <c r="C777" s="23"/>
      <c r="E777" s="24"/>
      <c r="G777" s="23"/>
      <c r="H777" s="23"/>
      <c r="I777" s="23"/>
      <c r="J777" s="23"/>
      <c r="K777" s="23"/>
      <c r="L777" s="23"/>
      <c r="M777" s="23"/>
      <c r="N777" s="23"/>
      <c r="O777" s="23"/>
      <c r="Q777" s="23"/>
      <c r="S777" s="23"/>
    </row>
    <row r="778">
      <c r="B778" s="23"/>
      <c r="C778" s="23"/>
      <c r="E778" s="24"/>
      <c r="G778" s="23"/>
      <c r="H778" s="23"/>
      <c r="I778" s="23"/>
      <c r="J778" s="23"/>
      <c r="K778" s="23"/>
      <c r="L778" s="23"/>
      <c r="M778" s="23"/>
      <c r="N778" s="23"/>
      <c r="O778" s="23"/>
      <c r="Q778" s="23"/>
      <c r="S778" s="23"/>
    </row>
    <row r="779">
      <c r="B779" s="23"/>
      <c r="C779" s="23"/>
      <c r="E779" s="24"/>
      <c r="G779" s="23"/>
      <c r="H779" s="23"/>
      <c r="I779" s="23"/>
      <c r="J779" s="23"/>
      <c r="K779" s="23"/>
      <c r="L779" s="23"/>
      <c r="M779" s="23"/>
      <c r="N779" s="23"/>
      <c r="O779" s="23"/>
      <c r="Q779" s="23"/>
      <c r="S779" s="23"/>
    </row>
    <row r="780">
      <c r="B780" s="23"/>
      <c r="C780" s="23"/>
      <c r="E780" s="24"/>
      <c r="G780" s="23"/>
      <c r="H780" s="23"/>
      <c r="I780" s="23"/>
      <c r="J780" s="23"/>
      <c r="K780" s="23"/>
      <c r="L780" s="23"/>
      <c r="M780" s="23"/>
      <c r="N780" s="23"/>
      <c r="O780" s="23"/>
      <c r="Q780" s="23"/>
      <c r="S780" s="23"/>
    </row>
    <row r="781">
      <c r="B781" s="23"/>
      <c r="C781" s="23"/>
      <c r="E781" s="24"/>
      <c r="G781" s="23"/>
      <c r="H781" s="23"/>
      <c r="I781" s="23"/>
      <c r="J781" s="23"/>
      <c r="K781" s="23"/>
      <c r="L781" s="23"/>
      <c r="M781" s="23"/>
      <c r="N781" s="23"/>
      <c r="O781" s="23"/>
      <c r="Q781" s="23"/>
      <c r="S781" s="23"/>
    </row>
    <row r="782">
      <c r="B782" s="23"/>
      <c r="C782" s="23"/>
      <c r="E782" s="24"/>
      <c r="G782" s="23"/>
      <c r="H782" s="23"/>
      <c r="I782" s="23"/>
      <c r="J782" s="23"/>
      <c r="K782" s="23"/>
      <c r="L782" s="23"/>
      <c r="M782" s="23"/>
      <c r="N782" s="23"/>
      <c r="O782" s="23"/>
      <c r="Q782" s="23"/>
      <c r="S782" s="23"/>
    </row>
    <row r="783">
      <c r="B783" s="23"/>
      <c r="C783" s="23"/>
      <c r="E783" s="24"/>
      <c r="G783" s="23"/>
      <c r="H783" s="23"/>
      <c r="I783" s="23"/>
      <c r="J783" s="23"/>
      <c r="K783" s="23"/>
      <c r="L783" s="23"/>
      <c r="M783" s="23"/>
      <c r="N783" s="23"/>
      <c r="O783" s="23"/>
      <c r="Q783" s="23"/>
      <c r="S783" s="23"/>
    </row>
    <row r="784">
      <c r="B784" s="23"/>
      <c r="C784" s="23"/>
      <c r="E784" s="24"/>
      <c r="G784" s="23"/>
      <c r="H784" s="23"/>
      <c r="I784" s="23"/>
      <c r="J784" s="23"/>
      <c r="K784" s="23"/>
      <c r="L784" s="23"/>
      <c r="M784" s="23"/>
      <c r="N784" s="23"/>
      <c r="O784" s="23"/>
      <c r="Q784" s="23"/>
      <c r="S784" s="23"/>
    </row>
    <row r="785">
      <c r="B785" s="23"/>
      <c r="C785" s="23"/>
      <c r="E785" s="24"/>
      <c r="G785" s="23"/>
      <c r="H785" s="23"/>
      <c r="I785" s="23"/>
      <c r="J785" s="23"/>
      <c r="K785" s="23"/>
      <c r="L785" s="23"/>
      <c r="M785" s="23"/>
      <c r="N785" s="23"/>
      <c r="O785" s="23"/>
      <c r="Q785" s="23"/>
      <c r="S785" s="23"/>
    </row>
    <row r="786">
      <c r="B786" s="23"/>
      <c r="C786" s="23"/>
      <c r="E786" s="24"/>
      <c r="G786" s="23"/>
      <c r="H786" s="23"/>
      <c r="I786" s="23"/>
      <c r="J786" s="23"/>
      <c r="K786" s="23"/>
      <c r="L786" s="23"/>
      <c r="M786" s="23"/>
      <c r="N786" s="23"/>
      <c r="O786" s="23"/>
      <c r="Q786" s="23"/>
      <c r="S786" s="23"/>
    </row>
    <row r="787">
      <c r="B787" s="23"/>
      <c r="C787" s="23"/>
      <c r="E787" s="24"/>
      <c r="G787" s="23"/>
      <c r="H787" s="23"/>
      <c r="I787" s="23"/>
      <c r="J787" s="23"/>
      <c r="K787" s="23"/>
      <c r="L787" s="23"/>
      <c r="M787" s="23"/>
      <c r="N787" s="23"/>
      <c r="O787" s="23"/>
      <c r="Q787" s="23"/>
      <c r="S787" s="23"/>
    </row>
    <row r="788">
      <c r="B788" s="23"/>
      <c r="C788" s="23"/>
      <c r="E788" s="24"/>
      <c r="G788" s="23"/>
      <c r="H788" s="23"/>
      <c r="I788" s="23"/>
      <c r="J788" s="23"/>
      <c r="K788" s="23"/>
      <c r="L788" s="23"/>
      <c r="M788" s="23"/>
      <c r="N788" s="23"/>
      <c r="O788" s="23"/>
      <c r="Q788" s="23"/>
      <c r="S788" s="23"/>
    </row>
    <row r="789">
      <c r="B789" s="23"/>
      <c r="C789" s="23"/>
      <c r="E789" s="24"/>
      <c r="G789" s="23"/>
      <c r="H789" s="23"/>
      <c r="I789" s="23"/>
      <c r="J789" s="23"/>
      <c r="K789" s="23"/>
      <c r="L789" s="23"/>
      <c r="M789" s="23"/>
      <c r="N789" s="23"/>
      <c r="O789" s="23"/>
      <c r="Q789" s="23"/>
      <c r="S789" s="23"/>
    </row>
    <row r="790">
      <c r="B790" s="23"/>
      <c r="C790" s="23"/>
      <c r="E790" s="24"/>
      <c r="G790" s="23"/>
      <c r="H790" s="23"/>
      <c r="I790" s="23"/>
      <c r="J790" s="23"/>
      <c r="K790" s="23"/>
      <c r="L790" s="23"/>
      <c r="M790" s="23"/>
      <c r="N790" s="23"/>
      <c r="O790" s="23"/>
      <c r="Q790" s="23"/>
      <c r="S790" s="23"/>
    </row>
    <row r="791">
      <c r="B791" s="23"/>
      <c r="C791" s="23"/>
      <c r="E791" s="24"/>
      <c r="G791" s="23"/>
      <c r="H791" s="23"/>
      <c r="I791" s="23"/>
      <c r="J791" s="23"/>
      <c r="K791" s="23"/>
      <c r="L791" s="23"/>
      <c r="M791" s="23"/>
      <c r="N791" s="23"/>
      <c r="O791" s="23"/>
      <c r="Q791" s="23"/>
      <c r="S791" s="23"/>
    </row>
    <row r="792">
      <c r="B792" s="23"/>
      <c r="C792" s="23"/>
      <c r="E792" s="24"/>
      <c r="G792" s="23"/>
      <c r="H792" s="23"/>
      <c r="I792" s="23"/>
      <c r="J792" s="23"/>
      <c r="K792" s="23"/>
      <c r="L792" s="23"/>
      <c r="M792" s="23"/>
      <c r="N792" s="23"/>
      <c r="O792" s="23"/>
      <c r="Q792" s="23"/>
      <c r="S792" s="23"/>
    </row>
    <row r="793">
      <c r="B793" s="23"/>
      <c r="C793" s="23"/>
      <c r="E793" s="24"/>
      <c r="G793" s="23"/>
      <c r="H793" s="23"/>
      <c r="I793" s="23"/>
      <c r="J793" s="23"/>
      <c r="K793" s="23"/>
      <c r="L793" s="23"/>
      <c r="M793" s="23"/>
      <c r="N793" s="23"/>
      <c r="O793" s="23"/>
      <c r="Q793" s="23"/>
      <c r="S793" s="23"/>
    </row>
    <row r="794">
      <c r="B794" s="23"/>
      <c r="C794" s="23"/>
      <c r="E794" s="24"/>
      <c r="G794" s="23"/>
      <c r="H794" s="23"/>
      <c r="I794" s="23"/>
      <c r="J794" s="23"/>
      <c r="K794" s="23"/>
      <c r="L794" s="23"/>
      <c r="M794" s="23"/>
      <c r="N794" s="23"/>
      <c r="O794" s="23"/>
      <c r="Q794" s="23"/>
      <c r="S794" s="23"/>
    </row>
    <row r="795">
      <c r="B795" s="23"/>
      <c r="C795" s="23"/>
      <c r="E795" s="24"/>
      <c r="G795" s="23"/>
      <c r="H795" s="23"/>
      <c r="I795" s="23"/>
      <c r="J795" s="23"/>
      <c r="K795" s="23"/>
      <c r="L795" s="23"/>
      <c r="M795" s="23"/>
      <c r="N795" s="23"/>
      <c r="O795" s="23"/>
      <c r="Q795" s="23"/>
      <c r="S795" s="23"/>
    </row>
    <row r="796">
      <c r="B796" s="23"/>
      <c r="C796" s="23"/>
      <c r="E796" s="24"/>
      <c r="G796" s="23"/>
      <c r="H796" s="23"/>
      <c r="I796" s="23"/>
      <c r="J796" s="23"/>
      <c r="K796" s="23"/>
      <c r="L796" s="23"/>
      <c r="M796" s="23"/>
      <c r="N796" s="23"/>
      <c r="O796" s="23"/>
      <c r="Q796" s="23"/>
      <c r="S796" s="23"/>
    </row>
    <row r="797">
      <c r="B797" s="23"/>
      <c r="C797" s="23"/>
      <c r="E797" s="24"/>
      <c r="G797" s="23"/>
      <c r="H797" s="23"/>
      <c r="I797" s="23"/>
      <c r="J797" s="23"/>
      <c r="K797" s="23"/>
      <c r="L797" s="23"/>
      <c r="M797" s="23"/>
      <c r="N797" s="23"/>
      <c r="O797" s="23"/>
      <c r="Q797" s="23"/>
      <c r="S797" s="23"/>
    </row>
    <row r="798">
      <c r="B798" s="23"/>
      <c r="C798" s="23"/>
      <c r="E798" s="24"/>
      <c r="G798" s="23"/>
      <c r="H798" s="23"/>
      <c r="I798" s="23"/>
      <c r="J798" s="23"/>
      <c r="K798" s="23"/>
      <c r="L798" s="23"/>
      <c r="M798" s="23"/>
      <c r="N798" s="23"/>
      <c r="O798" s="23"/>
      <c r="Q798" s="23"/>
      <c r="S798" s="23"/>
    </row>
    <row r="799">
      <c r="B799" s="23"/>
      <c r="C799" s="23"/>
      <c r="E799" s="24"/>
      <c r="G799" s="23"/>
      <c r="H799" s="23"/>
      <c r="I799" s="23"/>
      <c r="J799" s="23"/>
      <c r="K799" s="23"/>
      <c r="L799" s="23"/>
      <c r="M799" s="23"/>
      <c r="N799" s="23"/>
      <c r="O799" s="23"/>
      <c r="Q799" s="23"/>
      <c r="S799" s="23"/>
    </row>
    <row r="800">
      <c r="B800" s="23"/>
      <c r="C800" s="23"/>
      <c r="E800" s="24"/>
      <c r="G800" s="23"/>
      <c r="H800" s="23"/>
      <c r="I800" s="23"/>
      <c r="J800" s="23"/>
      <c r="K800" s="23"/>
      <c r="L800" s="23"/>
      <c r="M800" s="23"/>
      <c r="N800" s="23"/>
      <c r="O800" s="23"/>
      <c r="Q800" s="23"/>
      <c r="S800" s="23"/>
    </row>
    <row r="801">
      <c r="B801" s="23"/>
      <c r="C801" s="23"/>
      <c r="E801" s="24"/>
      <c r="G801" s="23"/>
      <c r="H801" s="23"/>
      <c r="I801" s="23"/>
      <c r="J801" s="23"/>
      <c r="K801" s="23"/>
      <c r="L801" s="23"/>
      <c r="M801" s="23"/>
      <c r="N801" s="23"/>
      <c r="O801" s="23"/>
      <c r="Q801" s="23"/>
      <c r="S801" s="23"/>
    </row>
    <row r="802">
      <c r="B802" s="23"/>
      <c r="C802" s="23"/>
      <c r="E802" s="24"/>
      <c r="G802" s="23"/>
      <c r="H802" s="23"/>
      <c r="I802" s="23"/>
      <c r="J802" s="23"/>
      <c r="K802" s="23"/>
      <c r="L802" s="23"/>
      <c r="M802" s="23"/>
      <c r="N802" s="23"/>
      <c r="O802" s="23"/>
      <c r="Q802" s="23"/>
      <c r="S802" s="23"/>
    </row>
    <row r="803">
      <c r="B803" s="23"/>
      <c r="C803" s="23"/>
      <c r="E803" s="24"/>
      <c r="G803" s="23"/>
      <c r="H803" s="23"/>
      <c r="I803" s="23"/>
      <c r="J803" s="23"/>
      <c r="K803" s="23"/>
      <c r="L803" s="23"/>
      <c r="M803" s="23"/>
      <c r="N803" s="23"/>
      <c r="O803" s="23"/>
      <c r="Q803" s="23"/>
      <c r="S803" s="23"/>
    </row>
    <row r="804">
      <c r="B804" s="23"/>
      <c r="C804" s="23"/>
      <c r="E804" s="24"/>
      <c r="G804" s="23"/>
      <c r="H804" s="23"/>
      <c r="I804" s="23"/>
      <c r="J804" s="23"/>
      <c r="K804" s="23"/>
      <c r="L804" s="23"/>
      <c r="M804" s="23"/>
      <c r="N804" s="23"/>
      <c r="O804" s="23"/>
      <c r="Q804" s="23"/>
      <c r="S804" s="23"/>
    </row>
    <row r="805">
      <c r="B805" s="23"/>
      <c r="C805" s="23"/>
      <c r="E805" s="24"/>
      <c r="G805" s="23"/>
      <c r="H805" s="23"/>
      <c r="I805" s="23"/>
      <c r="J805" s="23"/>
      <c r="K805" s="23"/>
      <c r="L805" s="23"/>
      <c r="M805" s="23"/>
      <c r="N805" s="23"/>
      <c r="O805" s="23"/>
      <c r="Q805" s="23"/>
      <c r="S805" s="23"/>
    </row>
    <row r="806">
      <c r="B806" s="23"/>
      <c r="C806" s="23"/>
      <c r="E806" s="24"/>
      <c r="G806" s="23"/>
      <c r="H806" s="23"/>
      <c r="I806" s="23"/>
      <c r="J806" s="23"/>
      <c r="K806" s="23"/>
      <c r="L806" s="23"/>
      <c r="M806" s="23"/>
      <c r="N806" s="23"/>
      <c r="O806" s="23"/>
      <c r="Q806" s="23"/>
      <c r="S806" s="23"/>
    </row>
    <row r="807">
      <c r="B807" s="23"/>
      <c r="C807" s="23"/>
      <c r="E807" s="24"/>
      <c r="G807" s="23"/>
      <c r="H807" s="23"/>
      <c r="I807" s="23"/>
      <c r="J807" s="23"/>
      <c r="K807" s="23"/>
      <c r="L807" s="23"/>
      <c r="M807" s="23"/>
      <c r="N807" s="23"/>
      <c r="O807" s="23"/>
      <c r="Q807" s="23"/>
      <c r="S807" s="23"/>
    </row>
    <row r="808">
      <c r="B808" s="23"/>
      <c r="C808" s="23"/>
      <c r="E808" s="24"/>
      <c r="G808" s="23"/>
      <c r="H808" s="23"/>
      <c r="I808" s="23"/>
      <c r="J808" s="23"/>
      <c r="K808" s="23"/>
      <c r="L808" s="23"/>
      <c r="M808" s="23"/>
      <c r="N808" s="23"/>
      <c r="O808" s="23"/>
      <c r="Q808" s="23"/>
      <c r="S808" s="23"/>
    </row>
    <row r="809">
      <c r="B809" s="23"/>
      <c r="C809" s="23"/>
      <c r="E809" s="24"/>
      <c r="G809" s="23"/>
      <c r="H809" s="23"/>
      <c r="I809" s="23"/>
      <c r="J809" s="23"/>
      <c r="K809" s="23"/>
      <c r="L809" s="23"/>
      <c r="M809" s="23"/>
      <c r="N809" s="23"/>
      <c r="O809" s="23"/>
      <c r="Q809" s="23"/>
      <c r="S809" s="23"/>
    </row>
    <row r="810">
      <c r="B810" s="23"/>
      <c r="C810" s="23"/>
      <c r="E810" s="24"/>
      <c r="G810" s="23"/>
      <c r="H810" s="23"/>
      <c r="I810" s="23"/>
      <c r="J810" s="23"/>
      <c r="K810" s="23"/>
      <c r="L810" s="23"/>
      <c r="M810" s="23"/>
      <c r="N810" s="23"/>
      <c r="O810" s="23"/>
      <c r="Q810" s="23"/>
      <c r="S810" s="23"/>
    </row>
    <row r="811">
      <c r="B811" s="23"/>
      <c r="C811" s="23"/>
      <c r="E811" s="24"/>
      <c r="G811" s="23"/>
      <c r="H811" s="23"/>
      <c r="I811" s="23"/>
      <c r="J811" s="23"/>
      <c r="K811" s="23"/>
      <c r="L811" s="23"/>
      <c r="M811" s="23"/>
      <c r="N811" s="23"/>
      <c r="O811" s="23"/>
      <c r="Q811" s="23"/>
      <c r="S811" s="23"/>
    </row>
    <row r="812">
      <c r="B812" s="23"/>
      <c r="C812" s="23"/>
      <c r="E812" s="24"/>
      <c r="G812" s="23"/>
      <c r="H812" s="23"/>
      <c r="I812" s="23"/>
      <c r="J812" s="23"/>
      <c r="K812" s="23"/>
      <c r="L812" s="23"/>
      <c r="M812" s="23"/>
      <c r="N812" s="23"/>
      <c r="O812" s="23"/>
      <c r="Q812" s="23"/>
      <c r="S812" s="23"/>
    </row>
    <row r="813">
      <c r="B813" s="23"/>
      <c r="C813" s="23"/>
      <c r="E813" s="24"/>
      <c r="G813" s="23"/>
      <c r="H813" s="23"/>
      <c r="I813" s="23"/>
      <c r="J813" s="23"/>
      <c r="K813" s="23"/>
      <c r="L813" s="23"/>
      <c r="M813" s="23"/>
      <c r="N813" s="23"/>
      <c r="O813" s="23"/>
      <c r="Q813" s="23"/>
      <c r="S813" s="23"/>
    </row>
    <row r="814">
      <c r="B814" s="23"/>
      <c r="C814" s="23"/>
      <c r="E814" s="24"/>
      <c r="G814" s="23"/>
      <c r="H814" s="23"/>
      <c r="I814" s="23"/>
      <c r="J814" s="23"/>
      <c r="K814" s="23"/>
      <c r="L814" s="23"/>
      <c r="M814" s="23"/>
      <c r="N814" s="23"/>
      <c r="O814" s="23"/>
      <c r="Q814" s="23"/>
      <c r="S814" s="23"/>
    </row>
    <row r="815">
      <c r="B815" s="23"/>
      <c r="C815" s="23"/>
      <c r="E815" s="24"/>
      <c r="G815" s="23"/>
      <c r="H815" s="23"/>
      <c r="I815" s="23"/>
      <c r="J815" s="23"/>
      <c r="K815" s="23"/>
      <c r="L815" s="23"/>
      <c r="M815" s="23"/>
      <c r="N815" s="23"/>
      <c r="O815" s="23"/>
      <c r="Q815" s="23"/>
      <c r="S815" s="23"/>
    </row>
    <row r="816">
      <c r="B816" s="23"/>
      <c r="C816" s="23"/>
      <c r="E816" s="24"/>
      <c r="G816" s="23"/>
      <c r="H816" s="23"/>
      <c r="I816" s="23"/>
      <c r="J816" s="23"/>
      <c r="K816" s="23"/>
      <c r="L816" s="23"/>
      <c r="M816" s="23"/>
      <c r="N816" s="23"/>
      <c r="O816" s="23"/>
      <c r="Q816" s="23"/>
      <c r="S816" s="23"/>
    </row>
    <row r="817">
      <c r="B817" s="23"/>
      <c r="C817" s="23"/>
      <c r="E817" s="24"/>
      <c r="G817" s="23"/>
      <c r="H817" s="23"/>
      <c r="I817" s="23"/>
      <c r="J817" s="23"/>
      <c r="K817" s="23"/>
      <c r="L817" s="23"/>
      <c r="M817" s="23"/>
      <c r="N817" s="23"/>
      <c r="O817" s="23"/>
      <c r="Q817" s="23"/>
      <c r="S817" s="23"/>
    </row>
    <row r="818">
      <c r="B818" s="23"/>
      <c r="C818" s="23"/>
      <c r="E818" s="24"/>
      <c r="G818" s="23"/>
      <c r="H818" s="23"/>
      <c r="I818" s="23"/>
      <c r="J818" s="23"/>
      <c r="K818" s="23"/>
      <c r="L818" s="23"/>
      <c r="M818" s="23"/>
      <c r="N818" s="23"/>
      <c r="O818" s="23"/>
      <c r="Q818" s="23"/>
      <c r="S818" s="23"/>
    </row>
    <row r="819">
      <c r="B819" s="23"/>
      <c r="C819" s="23"/>
      <c r="E819" s="24"/>
      <c r="G819" s="23"/>
      <c r="H819" s="23"/>
      <c r="I819" s="23"/>
      <c r="J819" s="23"/>
      <c r="K819" s="23"/>
      <c r="L819" s="23"/>
      <c r="M819" s="23"/>
      <c r="N819" s="23"/>
      <c r="O819" s="23"/>
      <c r="Q819" s="23"/>
      <c r="S819" s="23"/>
    </row>
    <row r="820">
      <c r="B820" s="23"/>
      <c r="C820" s="23"/>
      <c r="E820" s="24"/>
      <c r="G820" s="23"/>
      <c r="H820" s="23"/>
      <c r="I820" s="23"/>
      <c r="J820" s="23"/>
      <c r="K820" s="23"/>
      <c r="L820" s="23"/>
      <c r="M820" s="23"/>
      <c r="N820" s="23"/>
      <c r="O820" s="23"/>
      <c r="Q820" s="23"/>
      <c r="S820" s="23"/>
    </row>
    <row r="821">
      <c r="B821" s="23"/>
      <c r="C821" s="23"/>
      <c r="E821" s="24"/>
      <c r="G821" s="23"/>
      <c r="H821" s="23"/>
      <c r="I821" s="23"/>
      <c r="J821" s="23"/>
      <c r="K821" s="23"/>
      <c r="L821" s="23"/>
      <c r="M821" s="23"/>
      <c r="N821" s="23"/>
      <c r="O821" s="23"/>
      <c r="Q821" s="23"/>
      <c r="S821" s="23"/>
    </row>
    <row r="822">
      <c r="B822" s="23"/>
      <c r="C822" s="23"/>
      <c r="E822" s="24"/>
      <c r="G822" s="23"/>
      <c r="H822" s="23"/>
      <c r="I822" s="23"/>
      <c r="J822" s="23"/>
      <c r="K822" s="23"/>
      <c r="L822" s="23"/>
      <c r="M822" s="23"/>
      <c r="N822" s="23"/>
      <c r="O822" s="23"/>
      <c r="Q822" s="23"/>
      <c r="S822" s="23"/>
    </row>
    <row r="823">
      <c r="B823" s="23"/>
      <c r="C823" s="23"/>
      <c r="E823" s="24"/>
      <c r="G823" s="23"/>
      <c r="H823" s="23"/>
      <c r="I823" s="23"/>
      <c r="J823" s="23"/>
      <c r="K823" s="23"/>
      <c r="L823" s="23"/>
      <c r="M823" s="23"/>
      <c r="N823" s="23"/>
      <c r="O823" s="23"/>
      <c r="Q823" s="23"/>
      <c r="S823" s="23"/>
    </row>
    <row r="824">
      <c r="B824" s="23"/>
      <c r="C824" s="23"/>
      <c r="E824" s="24"/>
      <c r="G824" s="23"/>
      <c r="H824" s="23"/>
      <c r="I824" s="23"/>
      <c r="J824" s="23"/>
      <c r="K824" s="23"/>
      <c r="L824" s="23"/>
      <c r="M824" s="23"/>
      <c r="N824" s="23"/>
      <c r="O824" s="23"/>
      <c r="Q824" s="23"/>
      <c r="S824" s="23"/>
    </row>
    <row r="825">
      <c r="B825" s="23"/>
      <c r="C825" s="23"/>
      <c r="E825" s="24"/>
      <c r="G825" s="23"/>
      <c r="H825" s="23"/>
      <c r="I825" s="23"/>
      <c r="J825" s="23"/>
      <c r="K825" s="23"/>
      <c r="L825" s="23"/>
      <c r="M825" s="23"/>
      <c r="N825" s="23"/>
      <c r="O825" s="23"/>
      <c r="Q825" s="23"/>
      <c r="S825" s="23"/>
    </row>
    <row r="826">
      <c r="B826" s="23"/>
      <c r="C826" s="23"/>
      <c r="E826" s="24"/>
      <c r="G826" s="23"/>
      <c r="H826" s="23"/>
      <c r="I826" s="23"/>
      <c r="J826" s="23"/>
      <c r="K826" s="23"/>
      <c r="L826" s="23"/>
      <c r="M826" s="23"/>
      <c r="N826" s="23"/>
      <c r="O826" s="23"/>
      <c r="Q826" s="23"/>
      <c r="S826" s="23"/>
    </row>
    <row r="827">
      <c r="B827" s="23"/>
      <c r="C827" s="23"/>
      <c r="E827" s="24"/>
      <c r="G827" s="23"/>
      <c r="H827" s="23"/>
      <c r="I827" s="23"/>
      <c r="J827" s="23"/>
      <c r="K827" s="23"/>
      <c r="L827" s="23"/>
      <c r="M827" s="23"/>
      <c r="N827" s="23"/>
      <c r="O827" s="23"/>
      <c r="Q827" s="23"/>
      <c r="S827" s="23"/>
    </row>
    <row r="828">
      <c r="B828" s="23"/>
      <c r="C828" s="23"/>
      <c r="E828" s="24"/>
      <c r="G828" s="23"/>
      <c r="H828" s="23"/>
      <c r="I828" s="23"/>
      <c r="J828" s="23"/>
      <c r="K828" s="23"/>
      <c r="L828" s="23"/>
      <c r="M828" s="23"/>
      <c r="N828" s="23"/>
      <c r="O828" s="23"/>
      <c r="Q828" s="23"/>
      <c r="S828" s="23"/>
    </row>
    <row r="829">
      <c r="B829" s="23"/>
      <c r="C829" s="23"/>
      <c r="E829" s="24"/>
      <c r="G829" s="23"/>
      <c r="H829" s="23"/>
      <c r="I829" s="23"/>
      <c r="J829" s="23"/>
      <c r="K829" s="23"/>
      <c r="L829" s="23"/>
      <c r="M829" s="23"/>
      <c r="N829" s="23"/>
      <c r="O829" s="23"/>
      <c r="Q829" s="23"/>
      <c r="S829" s="23"/>
    </row>
    <row r="830">
      <c r="B830" s="23"/>
      <c r="C830" s="23"/>
      <c r="E830" s="24"/>
      <c r="G830" s="23"/>
      <c r="H830" s="23"/>
      <c r="I830" s="23"/>
      <c r="J830" s="23"/>
      <c r="K830" s="23"/>
      <c r="L830" s="23"/>
      <c r="M830" s="23"/>
      <c r="N830" s="23"/>
      <c r="O830" s="23"/>
      <c r="Q830" s="23"/>
      <c r="S830" s="23"/>
    </row>
    <row r="831">
      <c r="B831" s="23"/>
      <c r="C831" s="23"/>
      <c r="E831" s="24"/>
      <c r="G831" s="23"/>
      <c r="H831" s="23"/>
      <c r="I831" s="23"/>
      <c r="J831" s="23"/>
      <c r="K831" s="23"/>
      <c r="L831" s="23"/>
      <c r="M831" s="23"/>
      <c r="N831" s="23"/>
      <c r="O831" s="23"/>
      <c r="Q831" s="23"/>
      <c r="S831" s="23"/>
    </row>
    <row r="832">
      <c r="B832" s="23"/>
      <c r="C832" s="23"/>
      <c r="E832" s="24"/>
      <c r="G832" s="23"/>
      <c r="H832" s="23"/>
      <c r="I832" s="23"/>
      <c r="J832" s="23"/>
      <c r="K832" s="23"/>
      <c r="L832" s="23"/>
      <c r="M832" s="23"/>
      <c r="N832" s="23"/>
      <c r="O832" s="23"/>
      <c r="Q832" s="23"/>
      <c r="S832" s="23"/>
    </row>
    <row r="833">
      <c r="B833" s="23"/>
      <c r="C833" s="23"/>
      <c r="E833" s="24"/>
      <c r="G833" s="23"/>
      <c r="H833" s="23"/>
      <c r="I833" s="23"/>
      <c r="J833" s="23"/>
      <c r="K833" s="23"/>
      <c r="L833" s="23"/>
      <c r="M833" s="23"/>
      <c r="N833" s="23"/>
      <c r="O833" s="23"/>
      <c r="Q833" s="23"/>
      <c r="S833" s="23"/>
    </row>
    <row r="834">
      <c r="B834" s="23"/>
      <c r="C834" s="23"/>
      <c r="E834" s="24"/>
      <c r="G834" s="23"/>
      <c r="H834" s="23"/>
      <c r="I834" s="23"/>
      <c r="J834" s="23"/>
      <c r="K834" s="23"/>
      <c r="L834" s="23"/>
      <c r="M834" s="23"/>
      <c r="N834" s="23"/>
      <c r="O834" s="23"/>
      <c r="Q834" s="23"/>
      <c r="S834" s="23"/>
    </row>
    <row r="835">
      <c r="B835" s="23"/>
      <c r="C835" s="23"/>
      <c r="E835" s="24"/>
      <c r="G835" s="23"/>
      <c r="H835" s="23"/>
      <c r="I835" s="23"/>
      <c r="J835" s="23"/>
      <c r="K835" s="23"/>
      <c r="L835" s="23"/>
      <c r="M835" s="23"/>
      <c r="N835" s="23"/>
      <c r="O835" s="23"/>
      <c r="Q835" s="23"/>
      <c r="S835" s="23"/>
    </row>
    <row r="836">
      <c r="B836" s="23"/>
      <c r="C836" s="23"/>
      <c r="E836" s="24"/>
      <c r="G836" s="23"/>
      <c r="H836" s="23"/>
      <c r="I836" s="23"/>
      <c r="J836" s="23"/>
      <c r="K836" s="23"/>
      <c r="L836" s="23"/>
      <c r="M836" s="23"/>
      <c r="N836" s="23"/>
      <c r="O836" s="23"/>
      <c r="Q836" s="23"/>
      <c r="S836" s="23"/>
    </row>
    <row r="837">
      <c r="B837" s="23"/>
      <c r="C837" s="23"/>
      <c r="E837" s="24"/>
      <c r="G837" s="23"/>
      <c r="H837" s="23"/>
      <c r="I837" s="23"/>
      <c r="J837" s="23"/>
      <c r="K837" s="23"/>
      <c r="L837" s="23"/>
      <c r="M837" s="23"/>
      <c r="N837" s="23"/>
      <c r="O837" s="23"/>
      <c r="Q837" s="23"/>
      <c r="S837" s="23"/>
    </row>
    <row r="838">
      <c r="B838" s="23"/>
      <c r="C838" s="23"/>
      <c r="E838" s="24"/>
      <c r="G838" s="23"/>
      <c r="H838" s="23"/>
      <c r="I838" s="23"/>
      <c r="J838" s="23"/>
      <c r="K838" s="23"/>
      <c r="L838" s="23"/>
      <c r="M838" s="23"/>
      <c r="N838" s="23"/>
      <c r="O838" s="23"/>
      <c r="Q838" s="23"/>
      <c r="S838" s="23"/>
    </row>
    <row r="839">
      <c r="B839" s="23"/>
      <c r="C839" s="23"/>
      <c r="E839" s="24"/>
      <c r="G839" s="23"/>
      <c r="H839" s="23"/>
      <c r="I839" s="23"/>
      <c r="J839" s="23"/>
      <c r="K839" s="23"/>
      <c r="L839" s="23"/>
      <c r="M839" s="23"/>
      <c r="N839" s="23"/>
      <c r="O839" s="23"/>
      <c r="Q839" s="23"/>
      <c r="S839" s="23"/>
    </row>
    <row r="840">
      <c r="B840" s="23"/>
      <c r="C840" s="23"/>
      <c r="E840" s="24"/>
      <c r="G840" s="23"/>
      <c r="H840" s="23"/>
      <c r="I840" s="23"/>
      <c r="J840" s="23"/>
      <c r="K840" s="23"/>
      <c r="L840" s="23"/>
      <c r="M840" s="23"/>
      <c r="N840" s="23"/>
      <c r="O840" s="23"/>
      <c r="Q840" s="23"/>
      <c r="S840" s="23"/>
    </row>
    <row r="841">
      <c r="B841" s="23"/>
      <c r="C841" s="23"/>
      <c r="E841" s="24"/>
      <c r="G841" s="23"/>
      <c r="H841" s="23"/>
      <c r="I841" s="23"/>
      <c r="J841" s="23"/>
      <c r="K841" s="23"/>
      <c r="L841" s="23"/>
      <c r="M841" s="23"/>
      <c r="N841" s="23"/>
      <c r="O841" s="23"/>
      <c r="Q841" s="23"/>
      <c r="S841" s="23"/>
    </row>
    <row r="842">
      <c r="B842" s="23"/>
      <c r="C842" s="23"/>
      <c r="E842" s="24"/>
      <c r="G842" s="23"/>
      <c r="H842" s="23"/>
      <c r="I842" s="23"/>
      <c r="J842" s="23"/>
      <c r="K842" s="23"/>
      <c r="L842" s="23"/>
      <c r="M842" s="23"/>
      <c r="N842" s="23"/>
      <c r="O842" s="23"/>
      <c r="Q842" s="23"/>
      <c r="S842" s="23"/>
    </row>
    <row r="843">
      <c r="B843" s="23"/>
      <c r="C843" s="23"/>
      <c r="E843" s="24"/>
      <c r="G843" s="23"/>
      <c r="H843" s="23"/>
      <c r="I843" s="23"/>
      <c r="J843" s="23"/>
      <c r="K843" s="23"/>
      <c r="L843" s="23"/>
      <c r="M843" s="23"/>
      <c r="N843" s="23"/>
      <c r="O843" s="23"/>
      <c r="Q843" s="23"/>
      <c r="S843" s="23"/>
    </row>
    <row r="844">
      <c r="B844" s="23"/>
      <c r="C844" s="23"/>
      <c r="E844" s="24"/>
      <c r="G844" s="23"/>
      <c r="H844" s="23"/>
      <c r="I844" s="23"/>
      <c r="J844" s="23"/>
      <c r="K844" s="23"/>
      <c r="L844" s="23"/>
      <c r="M844" s="23"/>
      <c r="N844" s="23"/>
      <c r="O844" s="23"/>
      <c r="Q844" s="23"/>
      <c r="S844" s="23"/>
    </row>
    <row r="845">
      <c r="B845" s="23"/>
      <c r="C845" s="23"/>
      <c r="E845" s="24"/>
      <c r="G845" s="23"/>
      <c r="H845" s="23"/>
      <c r="I845" s="23"/>
      <c r="J845" s="23"/>
      <c r="K845" s="23"/>
      <c r="L845" s="23"/>
      <c r="M845" s="23"/>
      <c r="N845" s="23"/>
      <c r="O845" s="23"/>
      <c r="Q845" s="23"/>
      <c r="S845" s="23"/>
    </row>
    <row r="846">
      <c r="B846" s="23"/>
      <c r="C846" s="23"/>
      <c r="E846" s="24"/>
      <c r="G846" s="23"/>
      <c r="H846" s="23"/>
      <c r="I846" s="23"/>
      <c r="J846" s="23"/>
      <c r="K846" s="23"/>
      <c r="L846" s="23"/>
      <c r="M846" s="23"/>
      <c r="N846" s="23"/>
      <c r="O846" s="23"/>
      <c r="Q846" s="23"/>
      <c r="S846" s="23"/>
    </row>
    <row r="847">
      <c r="B847" s="23"/>
      <c r="C847" s="23"/>
      <c r="E847" s="24"/>
      <c r="G847" s="23"/>
      <c r="H847" s="23"/>
      <c r="I847" s="23"/>
      <c r="J847" s="23"/>
      <c r="K847" s="23"/>
      <c r="L847" s="23"/>
      <c r="M847" s="23"/>
      <c r="N847" s="23"/>
      <c r="O847" s="23"/>
      <c r="Q847" s="23"/>
      <c r="S847" s="23"/>
    </row>
    <row r="848">
      <c r="B848" s="23"/>
      <c r="C848" s="23"/>
      <c r="E848" s="24"/>
      <c r="G848" s="23"/>
      <c r="H848" s="23"/>
      <c r="I848" s="23"/>
      <c r="J848" s="23"/>
      <c r="K848" s="23"/>
      <c r="L848" s="23"/>
      <c r="M848" s="23"/>
      <c r="N848" s="23"/>
      <c r="O848" s="23"/>
      <c r="Q848" s="23"/>
      <c r="S848" s="23"/>
    </row>
    <row r="849">
      <c r="B849" s="23"/>
      <c r="C849" s="23"/>
      <c r="E849" s="24"/>
      <c r="G849" s="23"/>
      <c r="H849" s="23"/>
      <c r="I849" s="23"/>
      <c r="J849" s="23"/>
      <c r="K849" s="23"/>
      <c r="L849" s="23"/>
      <c r="M849" s="23"/>
      <c r="N849" s="23"/>
      <c r="O849" s="23"/>
      <c r="Q849" s="23"/>
      <c r="S849" s="23"/>
    </row>
    <row r="850">
      <c r="B850" s="23"/>
      <c r="C850" s="23"/>
      <c r="E850" s="24"/>
      <c r="G850" s="23"/>
      <c r="H850" s="23"/>
      <c r="I850" s="23"/>
      <c r="J850" s="23"/>
      <c r="K850" s="23"/>
      <c r="L850" s="23"/>
      <c r="M850" s="23"/>
      <c r="N850" s="23"/>
      <c r="O850" s="23"/>
      <c r="Q850" s="23"/>
      <c r="S850" s="23"/>
    </row>
    <row r="851">
      <c r="B851" s="23"/>
      <c r="C851" s="23"/>
      <c r="E851" s="24"/>
      <c r="G851" s="23"/>
      <c r="H851" s="23"/>
      <c r="I851" s="23"/>
      <c r="J851" s="23"/>
      <c r="K851" s="23"/>
      <c r="L851" s="23"/>
      <c r="M851" s="23"/>
      <c r="N851" s="23"/>
      <c r="O851" s="23"/>
      <c r="Q851" s="23"/>
      <c r="S851" s="23"/>
    </row>
    <row r="852">
      <c r="B852" s="23"/>
      <c r="C852" s="23"/>
      <c r="E852" s="24"/>
      <c r="G852" s="23"/>
      <c r="H852" s="23"/>
      <c r="I852" s="23"/>
      <c r="J852" s="23"/>
      <c r="K852" s="23"/>
      <c r="L852" s="23"/>
      <c r="M852" s="23"/>
      <c r="N852" s="23"/>
      <c r="O852" s="23"/>
      <c r="Q852" s="23"/>
      <c r="S852" s="23"/>
    </row>
    <row r="853">
      <c r="B853" s="23"/>
      <c r="C853" s="23"/>
      <c r="E853" s="24"/>
      <c r="G853" s="23"/>
      <c r="H853" s="23"/>
      <c r="I853" s="23"/>
      <c r="J853" s="23"/>
      <c r="K853" s="23"/>
      <c r="L853" s="23"/>
      <c r="M853" s="23"/>
      <c r="N853" s="23"/>
      <c r="O853" s="23"/>
      <c r="Q853" s="23"/>
      <c r="S853" s="23"/>
    </row>
    <row r="854">
      <c r="B854" s="23"/>
      <c r="C854" s="23"/>
      <c r="E854" s="24"/>
      <c r="G854" s="23"/>
      <c r="H854" s="23"/>
      <c r="I854" s="23"/>
      <c r="J854" s="23"/>
      <c r="K854" s="23"/>
      <c r="L854" s="23"/>
      <c r="M854" s="23"/>
      <c r="N854" s="23"/>
      <c r="O854" s="23"/>
      <c r="Q854" s="23"/>
      <c r="S854" s="23"/>
    </row>
    <row r="855">
      <c r="B855" s="23"/>
      <c r="C855" s="23"/>
      <c r="E855" s="24"/>
      <c r="G855" s="23"/>
      <c r="H855" s="23"/>
      <c r="I855" s="23"/>
      <c r="J855" s="23"/>
      <c r="K855" s="23"/>
      <c r="L855" s="23"/>
      <c r="M855" s="23"/>
      <c r="N855" s="23"/>
      <c r="O855" s="23"/>
      <c r="Q855" s="23"/>
      <c r="S855" s="23"/>
    </row>
    <row r="856">
      <c r="B856" s="23"/>
      <c r="C856" s="23"/>
      <c r="E856" s="24"/>
      <c r="G856" s="23"/>
      <c r="H856" s="23"/>
      <c r="I856" s="23"/>
      <c r="J856" s="23"/>
      <c r="K856" s="23"/>
      <c r="L856" s="23"/>
      <c r="M856" s="23"/>
      <c r="N856" s="23"/>
      <c r="O856" s="23"/>
      <c r="Q856" s="23"/>
      <c r="S856" s="23"/>
    </row>
    <row r="857">
      <c r="B857" s="23"/>
      <c r="C857" s="23"/>
      <c r="E857" s="24"/>
      <c r="G857" s="23"/>
      <c r="H857" s="23"/>
      <c r="I857" s="23"/>
      <c r="J857" s="23"/>
      <c r="K857" s="23"/>
      <c r="L857" s="23"/>
      <c r="M857" s="23"/>
      <c r="N857" s="23"/>
      <c r="O857" s="23"/>
      <c r="Q857" s="23"/>
      <c r="S857" s="23"/>
    </row>
    <row r="858">
      <c r="B858" s="23"/>
      <c r="C858" s="23"/>
      <c r="E858" s="24"/>
      <c r="G858" s="23"/>
      <c r="H858" s="23"/>
      <c r="I858" s="23"/>
      <c r="J858" s="23"/>
      <c r="K858" s="23"/>
      <c r="L858" s="23"/>
      <c r="M858" s="23"/>
      <c r="N858" s="23"/>
      <c r="O858" s="23"/>
      <c r="Q858" s="23"/>
      <c r="S858" s="23"/>
    </row>
    <row r="859">
      <c r="B859" s="23"/>
      <c r="C859" s="23"/>
      <c r="E859" s="24"/>
      <c r="G859" s="23"/>
      <c r="H859" s="23"/>
      <c r="I859" s="23"/>
      <c r="J859" s="23"/>
      <c r="K859" s="23"/>
      <c r="L859" s="23"/>
      <c r="M859" s="23"/>
      <c r="N859" s="23"/>
      <c r="O859" s="23"/>
      <c r="Q859" s="23"/>
      <c r="S859" s="23"/>
    </row>
    <row r="860">
      <c r="B860" s="23"/>
      <c r="C860" s="23"/>
      <c r="E860" s="24"/>
      <c r="G860" s="23"/>
      <c r="H860" s="23"/>
      <c r="I860" s="23"/>
      <c r="J860" s="23"/>
      <c r="K860" s="23"/>
      <c r="L860" s="23"/>
      <c r="M860" s="23"/>
      <c r="N860" s="23"/>
      <c r="O860" s="23"/>
      <c r="Q860" s="23"/>
      <c r="S860" s="23"/>
    </row>
    <row r="861">
      <c r="B861" s="23"/>
      <c r="C861" s="23"/>
      <c r="E861" s="24"/>
      <c r="G861" s="23"/>
      <c r="H861" s="23"/>
      <c r="I861" s="23"/>
      <c r="J861" s="23"/>
      <c r="K861" s="23"/>
      <c r="L861" s="23"/>
      <c r="M861" s="23"/>
      <c r="N861" s="23"/>
      <c r="O861" s="23"/>
      <c r="Q861" s="23"/>
      <c r="S861" s="23"/>
    </row>
    <row r="862">
      <c r="B862" s="23"/>
      <c r="C862" s="23"/>
      <c r="E862" s="24"/>
      <c r="G862" s="23"/>
      <c r="H862" s="23"/>
      <c r="I862" s="23"/>
      <c r="J862" s="23"/>
      <c r="K862" s="23"/>
      <c r="L862" s="23"/>
      <c r="M862" s="23"/>
      <c r="N862" s="23"/>
      <c r="O862" s="23"/>
      <c r="Q862" s="23"/>
      <c r="S862" s="23"/>
    </row>
    <row r="863">
      <c r="B863" s="23"/>
      <c r="C863" s="23"/>
      <c r="E863" s="24"/>
      <c r="G863" s="23"/>
      <c r="H863" s="23"/>
      <c r="I863" s="23"/>
      <c r="J863" s="23"/>
      <c r="K863" s="23"/>
      <c r="L863" s="23"/>
      <c r="M863" s="23"/>
      <c r="N863" s="23"/>
      <c r="O863" s="23"/>
      <c r="Q863" s="23"/>
      <c r="S863" s="23"/>
    </row>
    <row r="864">
      <c r="B864" s="23"/>
      <c r="C864" s="23"/>
      <c r="E864" s="24"/>
      <c r="G864" s="23"/>
      <c r="H864" s="23"/>
      <c r="I864" s="23"/>
      <c r="J864" s="23"/>
      <c r="K864" s="23"/>
      <c r="L864" s="23"/>
      <c r="M864" s="23"/>
      <c r="N864" s="23"/>
      <c r="O864" s="23"/>
      <c r="Q864" s="23"/>
      <c r="S864" s="23"/>
    </row>
    <row r="865">
      <c r="B865" s="23"/>
      <c r="C865" s="23"/>
      <c r="E865" s="24"/>
      <c r="G865" s="23"/>
      <c r="H865" s="23"/>
      <c r="I865" s="23"/>
      <c r="J865" s="23"/>
      <c r="K865" s="23"/>
      <c r="L865" s="23"/>
      <c r="M865" s="23"/>
      <c r="N865" s="23"/>
      <c r="O865" s="23"/>
      <c r="Q865" s="23"/>
      <c r="S865" s="23"/>
    </row>
    <row r="866">
      <c r="B866" s="23"/>
      <c r="C866" s="23"/>
      <c r="E866" s="24"/>
      <c r="G866" s="23"/>
      <c r="H866" s="23"/>
      <c r="I866" s="23"/>
      <c r="J866" s="23"/>
      <c r="K866" s="23"/>
      <c r="L866" s="23"/>
      <c r="M866" s="23"/>
      <c r="N866" s="23"/>
      <c r="O866" s="23"/>
      <c r="Q866" s="23"/>
      <c r="S866" s="23"/>
    </row>
    <row r="867">
      <c r="B867" s="23"/>
      <c r="C867" s="23"/>
      <c r="E867" s="24"/>
      <c r="G867" s="23"/>
      <c r="H867" s="23"/>
      <c r="I867" s="23"/>
      <c r="J867" s="23"/>
      <c r="K867" s="23"/>
      <c r="L867" s="23"/>
      <c r="M867" s="23"/>
      <c r="N867" s="23"/>
      <c r="O867" s="23"/>
      <c r="Q867" s="23"/>
      <c r="S867" s="23"/>
    </row>
    <row r="868">
      <c r="B868" s="23"/>
      <c r="C868" s="23"/>
      <c r="E868" s="24"/>
      <c r="G868" s="23"/>
      <c r="H868" s="23"/>
      <c r="I868" s="23"/>
      <c r="J868" s="23"/>
      <c r="K868" s="23"/>
      <c r="L868" s="23"/>
      <c r="M868" s="23"/>
      <c r="N868" s="23"/>
      <c r="O868" s="23"/>
      <c r="Q868" s="23"/>
      <c r="S868" s="23"/>
    </row>
    <row r="869">
      <c r="B869" s="23"/>
      <c r="C869" s="23"/>
      <c r="E869" s="24"/>
      <c r="G869" s="23"/>
      <c r="H869" s="23"/>
      <c r="I869" s="23"/>
      <c r="J869" s="23"/>
      <c r="K869" s="23"/>
      <c r="L869" s="23"/>
      <c r="M869" s="23"/>
      <c r="N869" s="23"/>
      <c r="O869" s="23"/>
      <c r="Q869" s="23"/>
      <c r="S869" s="23"/>
    </row>
    <row r="870">
      <c r="B870" s="23"/>
      <c r="C870" s="23"/>
      <c r="E870" s="24"/>
      <c r="G870" s="23"/>
      <c r="H870" s="23"/>
      <c r="I870" s="23"/>
      <c r="J870" s="23"/>
      <c r="K870" s="23"/>
      <c r="L870" s="23"/>
      <c r="M870" s="23"/>
      <c r="N870" s="23"/>
      <c r="O870" s="23"/>
      <c r="Q870" s="23"/>
      <c r="S870" s="23"/>
    </row>
    <row r="871">
      <c r="B871" s="23"/>
      <c r="C871" s="23"/>
      <c r="E871" s="24"/>
      <c r="G871" s="23"/>
      <c r="H871" s="23"/>
      <c r="I871" s="23"/>
      <c r="J871" s="23"/>
      <c r="K871" s="23"/>
      <c r="L871" s="23"/>
      <c r="M871" s="23"/>
      <c r="N871" s="23"/>
      <c r="O871" s="23"/>
      <c r="Q871" s="23"/>
      <c r="S871" s="23"/>
    </row>
    <row r="872">
      <c r="B872" s="23"/>
      <c r="C872" s="23"/>
      <c r="E872" s="24"/>
      <c r="G872" s="23"/>
      <c r="H872" s="23"/>
      <c r="I872" s="23"/>
      <c r="J872" s="23"/>
      <c r="K872" s="23"/>
      <c r="L872" s="23"/>
      <c r="M872" s="23"/>
      <c r="N872" s="23"/>
      <c r="O872" s="23"/>
      <c r="Q872" s="23"/>
      <c r="S872" s="23"/>
    </row>
    <row r="873">
      <c r="B873" s="23"/>
      <c r="C873" s="23"/>
      <c r="E873" s="24"/>
      <c r="G873" s="23"/>
      <c r="H873" s="23"/>
      <c r="I873" s="23"/>
      <c r="J873" s="23"/>
      <c r="K873" s="23"/>
      <c r="L873" s="23"/>
      <c r="M873" s="23"/>
      <c r="N873" s="23"/>
      <c r="O873" s="23"/>
      <c r="Q873" s="23"/>
      <c r="S873" s="23"/>
    </row>
    <row r="874">
      <c r="B874" s="23"/>
      <c r="C874" s="23"/>
      <c r="E874" s="24"/>
      <c r="G874" s="23"/>
      <c r="H874" s="23"/>
      <c r="I874" s="23"/>
      <c r="J874" s="23"/>
      <c r="K874" s="23"/>
      <c r="L874" s="23"/>
      <c r="M874" s="23"/>
      <c r="N874" s="23"/>
      <c r="O874" s="23"/>
      <c r="Q874" s="23"/>
      <c r="S874" s="23"/>
    </row>
    <row r="875">
      <c r="B875" s="23"/>
      <c r="C875" s="23"/>
      <c r="E875" s="24"/>
      <c r="G875" s="23"/>
      <c r="H875" s="23"/>
      <c r="I875" s="23"/>
      <c r="J875" s="23"/>
      <c r="K875" s="23"/>
      <c r="L875" s="23"/>
      <c r="M875" s="23"/>
      <c r="N875" s="23"/>
      <c r="O875" s="23"/>
      <c r="Q875" s="23"/>
      <c r="S875" s="23"/>
    </row>
    <row r="876">
      <c r="B876" s="23"/>
      <c r="C876" s="23"/>
      <c r="E876" s="24"/>
      <c r="G876" s="23"/>
      <c r="H876" s="23"/>
      <c r="I876" s="23"/>
      <c r="J876" s="23"/>
      <c r="K876" s="23"/>
      <c r="L876" s="23"/>
      <c r="M876" s="23"/>
      <c r="N876" s="23"/>
      <c r="O876" s="23"/>
      <c r="Q876" s="23"/>
      <c r="S876" s="23"/>
    </row>
    <row r="877">
      <c r="B877" s="23"/>
      <c r="C877" s="23"/>
      <c r="E877" s="24"/>
      <c r="G877" s="23"/>
      <c r="H877" s="23"/>
      <c r="I877" s="23"/>
      <c r="J877" s="23"/>
      <c r="K877" s="23"/>
      <c r="L877" s="23"/>
      <c r="M877" s="23"/>
      <c r="N877" s="23"/>
      <c r="O877" s="23"/>
      <c r="Q877" s="23"/>
      <c r="S877" s="23"/>
    </row>
    <row r="878">
      <c r="B878" s="23"/>
      <c r="C878" s="23"/>
      <c r="E878" s="24"/>
      <c r="G878" s="23"/>
      <c r="H878" s="23"/>
      <c r="I878" s="23"/>
      <c r="J878" s="23"/>
      <c r="K878" s="23"/>
      <c r="L878" s="23"/>
      <c r="M878" s="23"/>
      <c r="N878" s="23"/>
      <c r="O878" s="23"/>
      <c r="Q878" s="23"/>
      <c r="S878" s="23"/>
    </row>
    <row r="879">
      <c r="B879" s="23"/>
      <c r="C879" s="23"/>
      <c r="E879" s="24"/>
      <c r="G879" s="23"/>
      <c r="H879" s="23"/>
      <c r="I879" s="23"/>
      <c r="J879" s="23"/>
      <c r="K879" s="23"/>
      <c r="L879" s="23"/>
      <c r="M879" s="23"/>
      <c r="N879" s="23"/>
      <c r="O879" s="23"/>
      <c r="Q879" s="23"/>
      <c r="S879" s="23"/>
    </row>
    <row r="880">
      <c r="B880" s="23"/>
      <c r="C880" s="23"/>
      <c r="E880" s="24"/>
      <c r="G880" s="23"/>
      <c r="H880" s="23"/>
      <c r="I880" s="23"/>
      <c r="J880" s="23"/>
      <c r="K880" s="23"/>
      <c r="L880" s="23"/>
      <c r="M880" s="23"/>
      <c r="N880" s="23"/>
      <c r="O880" s="23"/>
      <c r="Q880" s="23"/>
      <c r="S880" s="23"/>
    </row>
    <row r="881">
      <c r="B881" s="23"/>
      <c r="C881" s="23"/>
      <c r="E881" s="24"/>
      <c r="G881" s="23"/>
      <c r="H881" s="23"/>
      <c r="I881" s="23"/>
      <c r="J881" s="23"/>
      <c r="K881" s="23"/>
      <c r="L881" s="23"/>
      <c r="M881" s="23"/>
      <c r="N881" s="23"/>
      <c r="O881" s="23"/>
      <c r="Q881" s="23"/>
      <c r="S881" s="23"/>
    </row>
    <row r="882">
      <c r="B882" s="23"/>
      <c r="C882" s="23"/>
      <c r="E882" s="24"/>
      <c r="G882" s="23"/>
      <c r="H882" s="23"/>
      <c r="I882" s="23"/>
      <c r="J882" s="23"/>
      <c r="K882" s="23"/>
      <c r="L882" s="23"/>
      <c r="M882" s="23"/>
      <c r="N882" s="23"/>
      <c r="O882" s="23"/>
      <c r="Q882" s="23"/>
      <c r="S882" s="23"/>
    </row>
    <row r="883">
      <c r="B883" s="23"/>
      <c r="C883" s="23"/>
      <c r="E883" s="24"/>
      <c r="G883" s="23"/>
      <c r="H883" s="23"/>
      <c r="I883" s="23"/>
      <c r="J883" s="23"/>
      <c r="K883" s="23"/>
      <c r="L883" s="23"/>
      <c r="M883" s="23"/>
      <c r="N883" s="23"/>
      <c r="O883" s="23"/>
      <c r="Q883" s="23"/>
      <c r="S883" s="23"/>
    </row>
    <row r="884">
      <c r="B884" s="23"/>
      <c r="C884" s="23"/>
      <c r="E884" s="24"/>
      <c r="G884" s="23"/>
      <c r="H884" s="23"/>
      <c r="I884" s="23"/>
      <c r="J884" s="23"/>
      <c r="K884" s="23"/>
      <c r="L884" s="23"/>
      <c r="M884" s="23"/>
      <c r="N884" s="23"/>
      <c r="O884" s="23"/>
      <c r="Q884" s="23"/>
      <c r="S884" s="23"/>
    </row>
    <row r="885">
      <c r="B885" s="23"/>
      <c r="C885" s="23"/>
      <c r="E885" s="24"/>
      <c r="G885" s="23"/>
      <c r="H885" s="23"/>
      <c r="I885" s="23"/>
      <c r="J885" s="23"/>
      <c r="K885" s="23"/>
      <c r="L885" s="23"/>
      <c r="M885" s="23"/>
      <c r="N885" s="23"/>
      <c r="O885" s="23"/>
      <c r="Q885" s="23"/>
      <c r="S885" s="23"/>
    </row>
    <row r="886">
      <c r="B886" s="23"/>
      <c r="C886" s="23"/>
      <c r="E886" s="24"/>
      <c r="G886" s="23"/>
      <c r="H886" s="23"/>
      <c r="I886" s="23"/>
      <c r="J886" s="23"/>
      <c r="K886" s="23"/>
      <c r="L886" s="23"/>
      <c r="M886" s="23"/>
      <c r="N886" s="23"/>
      <c r="O886" s="23"/>
      <c r="Q886" s="23"/>
      <c r="S886" s="23"/>
    </row>
    <row r="887">
      <c r="B887" s="23"/>
      <c r="C887" s="23"/>
      <c r="E887" s="24"/>
      <c r="G887" s="23"/>
      <c r="H887" s="23"/>
      <c r="I887" s="23"/>
      <c r="J887" s="23"/>
      <c r="K887" s="23"/>
      <c r="L887" s="23"/>
      <c r="M887" s="23"/>
      <c r="N887" s="23"/>
      <c r="O887" s="23"/>
      <c r="Q887" s="23"/>
      <c r="S887" s="23"/>
    </row>
    <row r="888">
      <c r="B888" s="23"/>
      <c r="C888" s="23"/>
      <c r="E888" s="24"/>
      <c r="G888" s="23"/>
      <c r="H888" s="23"/>
      <c r="I888" s="23"/>
      <c r="J888" s="23"/>
      <c r="K888" s="23"/>
      <c r="L888" s="23"/>
      <c r="M888" s="23"/>
      <c r="N888" s="23"/>
      <c r="O888" s="23"/>
      <c r="Q888" s="23"/>
      <c r="S888" s="23"/>
    </row>
    <row r="889">
      <c r="B889" s="23"/>
      <c r="C889" s="23"/>
      <c r="E889" s="24"/>
      <c r="G889" s="23"/>
      <c r="H889" s="23"/>
      <c r="I889" s="23"/>
      <c r="J889" s="23"/>
      <c r="K889" s="23"/>
      <c r="L889" s="23"/>
      <c r="M889" s="23"/>
      <c r="N889" s="23"/>
      <c r="O889" s="23"/>
      <c r="Q889" s="23"/>
      <c r="S889" s="23"/>
    </row>
    <row r="890">
      <c r="B890" s="23"/>
      <c r="C890" s="23"/>
      <c r="E890" s="24"/>
      <c r="G890" s="23"/>
      <c r="H890" s="23"/>
      <c r="I890" s="23"/>
      <c r="J890" s="23"/>
      <c r="K890" s="23"/>
      <c r="L890" s="23"/>
      <c r="M890" s="23"/>
      <c r="N890" s="23"/>
      <c r="O890" s="23"/>
      <c r="Q890" s="23"/>
      <c r="S890" s="23"/>
    </row>
    <row r="891">
      <c r="B891" s="23"/>
      <c r="C891" s="23"/>
      <c r="E891" s="24"/>
      <c r="G891" s="23"/>
      <c r="H891" s="23"/>
      <c r="I891" s="23"/>
      <c r="J891" s="23"/>
      <c r="K891" s="23"/>
      <c r="L891" s="23"/>
      <c r="M891" s="23"/>
      <c r="N891" s="23"/>
      <c r="O891" s="23"/>
      <c r="Q891" s="23"/>
      <c r="S891" s="23"/>
    </row>
    <row r="892">
      <c r="B892" s="23"/>
      <c r="C892" s="23"/>
      <c r="E892" s="24"/>
      <c r="G892" s="23"/>
      <c r="H892" s="23"/>
      <c r="I892" s="23"/>
      <c r="J892" s="23"/>
      <c r="K892" s="23"/>
      <c r="L892" s="23"/>
      <c r="M892" s="23"/>
      <c r="N892" s="23"/>
      <c r="O892" s="23"/>
      <c r="Q892" s="23"/>
      <c r="S892" s="23"/>
    </row>
    <row r="893">
      <c r="B893" s="23"/>
      <c r="C893" s="23"/>
      <c r="E893" s="24"/>
      <c r="G893" s="23"/>
      <c r="H893" s="23"/>
      <c r="I893" s="23"/>
      <c r="J893" s="23"/>
      <c r="K893" s="23"/>
      <c r="L893" s="23"/>
      <c r="M893" s="23"/>
      <c r="N893" s="23"/>
      <c r="O893" s="23"/>
      <c r="Q893" s="23"/>
      <c r="S893" s="23"/>
    </row>
    <row r="894">
      <c r="B894" s="23"/>
      <c r="C894" s="23"/>
      <c r="E894" s="24"/>
      <c r="G894" s="23"/>
      <c r="H894" s="23"/>
      <c r="I894" s="23"/>
      <c r="J894" s="23"/>
      <c r="K894" s="23"/>
      <c r="L894" s="23"/>
      <c r="M894" s="23"/>
      <c r="N894" s="23"/>
      <c r="O894" s="23"/>
      <c r="Q894" s="23"/>
      <c r="S894" s="23"/>
    </row>
    <row r="895">
      <c r="B895" s="23"/>
      <c r="C895" s="23"/>
      <c r="E895" s="24"/>
      <c r="G895" s="23"/>
      <c r="H895" s="23"/>
      <c r="I895" s="23"/>
      <c r="J895" s="23"/>
      <c r="K895" s="23"/>
      <c r="L895" s="23"/>
      <c r="M895" s="23"/>
      <c r="N895" s="23"/>
      <c r="O895" s="23"/>
      <c r="Q895" s="23"/>
      <c r="S895" s="23"/>
    </row>
    <row r="896">
      <c r="B896" s="23"/>
      <c r="C896" s="23"/>
      <c r="E896" s="24"/>
      <c r="G896" s="23"/>
      <c r="H896" s="23"/>
      <c r="I896" s="23"/>
      <c r="J896" s="23"/>
      <c r="K896" s="23"/>
      <c r="L896" s="23"/>
      <c r="M896" s="23"/>
      <c r="N896" s="23"/>
      <c r="O896" s="23"/>
      <c r="Q896" s="23"/>
      <c r="S896" s="23"/>
    </row>
    <row r="897">
      <c r="B897" s="23"/>
      <c r="C897" s="23"/>
      <c r="E897" s="24"/>
      <c r="G897" s="23"/>
      <c r="H897" s="23"/>
      <c r="I897" s="23"/>
      <c r="J897" s="23"/>
      <c r="K897" s="23"/>
      <c r="L897" s="23"/>
      <c r="M897" s="23"/>
      <c r="N897" s="23"/>
      <c r="O897" s="23"/>
      <c r="Q897" s="23"/>
      <c r="S897" s="23"/>
    </row>
    <row r="898">
      <c r="B898" s="23"/>
      <c r="C898" s="23"/>
      <c r="E898" s="24"/>
      <c r="G898" s="23"/>
      <c r="H898" s="23"/>
      <c r="I898" s="23"/>
      <c r="J898" s="23"/>
      <c r="K898" s="23"/>
      <c r="L898" s="23"/>
      <c r="M898" s="23"/>
      <c r="N898" s="23"/>
      <c r="O898" s="23"/>
      <c r="Q898" s="23"/>
      <c r="S898" s="23"/>
    </row>
    <row r="899">
      <c r="B899" s="23"/>
      <c r="C899" s="23"/>
      <c r="E899" s="24"/>
      <c r="G899" s="23"/>
      <c r="H899" s="23"/>
      <c r="I899" s="23"/>
      <c r="J899" s="23"/>
      <c r="K899" s="23"/>
      <c r="L899" s="23"/>
      <c r="M899" s="23"/>
      <c r="N899" s="23"/>
      <c r="O899" s="23"/>
      <c r="Q899" s="23"/>
      <c r="S899" s="23"/>
    </row>
    <row r="900">
      <c r="B900" s="23"/>
      <c r="C900" s="23"/>
      <c r="E900" s="24"/>
      <c r="G900" s="23"/>
      <c r="H900" s="23"/>
      <c r="I900" s="23"/>
      <c r="J900" s="23"/>
      <c r="K900" s="23"/>
      <c r="L900" s="23"/>
      <c r="M900" s="23"/>
      <c r="N900" s="23"/>
      <c r="O900" s="23"/>
      <c r="Q900" s="23"/>
      <c r="S900" s="23"/>
    </row>
    <row r="901">
      <c r="B901" s="23"/>
      <c r="C901" s="23"/>
      <c r="E901" s="24"/>
      <c r="G901" s="23"/>
      <c r="H901" s="23"/>
      <c r="I901" s="23"/>
      <c r="J901" s="23"/>
      <c r="K901" s="23"/>
      <c r="L901" s="23"/>
      <c r="M901" s="23"/>
      <c r="N901" s="23"/>
      <c r="O901" s="23"/>
      <c r="Q901" s="23"/>
      <c r="S901" s="23"/>
    </row>
    <row r="902">
      <c r="B902" s="23"/>
      <c r="C902" s="23"/>
      <c r="E902" s="24"/>
      <c r="G902" s="23"/>
      <c r="H902" s="23"/>
      <c r="I902" s="23"/>
      <c r="J902" s="23"/>
      <c r="K902" s="23"/>
      <c r="L902" s="23"/>
      <c r="M902" s="23"/>
      <c r="N902" s="23"/>
      <c r="O902" s="23"/>
      <c r="Q902" s="23"/>
      <c r="S902" s="23"/>
    </row>
    <row r="903">
      <c r="B903" s="23"/>
      <c r="C903" s="23"/>
      <c r="E903" s="24"/>
      <c r="G903" s="23"/>
      <c r="H903" s="23"/>
      <c r="I903" s="23"/>
      <c r="J903" s="23"/>
      <c r="K903" s="23"/>
      <c r="L903" s="23"/>
      <c r="M903" s="23"/>
      <c r="N903" s="23"/>
      <c r="O903" s="23"/>
      <c r="Q903" s="23"/>
      <c r="S903" s="23"/>
    </row>
    <row r="904">
      <c r="B904" s="23"/>
      <c r="C904" s="23"/>
      <c r="E904" s="24"/>
      <c r="G904" s="23"/>
      <c r="H904" s="23"/>
      <c r="I904" s="23"/>
      <c r="J904" s="23"/>
      <c r="K904" s="23"/>
      <c r="L904" s="23"/>
      <c r="M904" s="23"/>
      <c r="N904" s="23"/>
      <c r="O904" s="23"/>
      <c r="Q904" s="23"/>
      <c r="S904" s="23"/>
    </row>
    <row r="905">
      <c r="B905" s="23"/>
      <c r="C905" s="23"/>
      <c r="E905" s="24"/>
      <c r="G905" s="23"/>
      <c r="H905" s="23"/>
      <c r="I905" s="23"/>
      <c r="J905" s="23"/>
      <c r="K905" s="23"/>
      <c r="L905" s="23"/>
      <c r="M905" s="23"/>
      <c r="N905" s="23"/>
      <c r="O905" s="23"/>
      <c r="Q905" s="23"/>
      <c r="S905" s="23"/>
    </row>
    <row r="906">
      <c r="B906" s="23"/>
      <c r="C906" s="23"/>
      <c r="E906" s="24"/>
      <c r="G906" s="23"/>
      <c r="H906" s="23"/>
      <c r="I906" s="23"/>
      <c r="J906" s="23"/>
      <c r="K906" s="23"/>
      <c r="L906" s="23"/>
      <c r="M906" s="23"/>
      <c r="N906" s="23"/>
      <c r="O906" s="23"/>
      <c r="Q906" s="23"/>
      <c r="S906" s="23"/>
    </row>
    <row r="907">
      <c r="B907" s="23"/>
      <c r="C907" s="23"/>
      <c r="E907" s="24"/>
      <c r="G907" s="23"/>
      <c r="H907" s="23"/>
      <c r="I907" s="23"/>
      <c r="J907" s="23"/>
      <c r="K907" s="23"/>
      <c r="L907" s="23"/>
      <c r="M907" s="23"/>
      <c r="N907" s="23"/>
      <c r="O907" s="23"/>
      <c r="Q907" s="23"/>
      <c r="S907" s="23"/>
    </row>
    <row r="908">
      <c r="B908" s="23"/>
      <c r="C908" s="23"/>
      <c r="E908" s="24"/>
      <c r="G908" s="23"/>
      <c r="H908" s="23"/>
      <c r="I908" s="23"/>
      <c r="J908" s="23"/>
      <c r="K908" s="23"/>
      <c r="L908" s="23"/>
      <c r="M908" s="23"/>
      <c r="N908" s="23"/>
      <c r="O908" s="23"/>
      <c r="Q908" s="23"/>
      <c r="S908" s="23"/>
    </row>
    <row r="909">
      <c r="B909" s="23"/>
      <c r="C909" s="23"/>
      <c r="E909" s="24"/>
      <c r="G909" s="23"/>
      <c r="H909" s="23"/>
      <c r="I909" s="23"/>
      <c r="J909" s="23"/>
      <c r="K909" s="23"/>
      <c r="L909" s="23"/>
      <c r="M909" s="23"/>
      <c r="N909" s="23"/>
      <c r="O909" s="23"/>
      <c r="Q909" s="23"/>
      <c r="S909" s="23"/>
    </row>
    <row r="910">
      <c r="B910" s="23"/>
      <c r="C910" s="23"/>
      <c r="E910" s="24"/>
      <c r="G910" s="23"/>
      <c r="H910" s="23"/>
      <c r="I910" s="23"/>
      <c r="J910" s="23"/>
      <c r="K910" s="23"/>
      <c r="L910" s="23"/>
      <c r="M910" s="23"/>
      <c r="N910" s="23"/>
      <c r="O910" s="23"/>
      <c r="Q910" s="23"/>
      <c r="S910" s="23"/>
    </row>
    <row r="911">
      <c r="B911" s="23"/>
      <c r="C911" s="23"/>
      <c r="E911" s="24"/>
      <c r="G911" s="23"/>
      <c r="H911" s="23"/>
      <c r="I911" s="23"/>
      <c r="J911" s="23"/>
      <c r="K911" s="23"/>
      <c r="L911" s="23"/>
      <c r="M911" s="23"/>
      <c r="N911" s="23"/>
      <c r="O911" s="23"/>
      <c r="Q911" s="23"/>
      <c r="S911" s="23"/>
    </row>
    <row r="912">
      <c r="B912" s="23"/>
      <c r="C912" s="23"/>
      <c r="E912" s="24"/>
      <c r="G912" s="23"/>
      <c r="H912" s="23"/>
      <c r="I912" s="23"/>
      <c r="J912" s="23"/>
      <c r="K912" s="23"/>
      <c r="L912" s="23"/>
      <c r="M912" s="23"/>
      <c r="N912" s="23"/>
      <c r="O912" s="23"/>
      <c r="Q912" s="23"/>
      <c r="S912" s="23"/>
    </row>
    <row r="913">
      <c r="B913" s="23"/>
      <c r="C913" s="23"/>
      <c r="E913" s="24"/>
      <c r="G913" s="23"/>
      <c r="H913" s="23"/>
      <c r="I913" s="23"/>
      <c r="J913" s="23"/>
      <c r="K913" s="23"/>
      <c r="L913" s="23"/>
      <c r="M913" s="23"/>
      <c r="N913" s="23"/>
      <c r="O913" s="23"/>
      <c r="Q913" s="23"/>
      <c r="S913" s="23"/>
    </row>
    <row r="914">
      <c r="B914" s="23"/>
      <c r="C914" s="23"/>
      <c r="E914" s="24"/>
      <c r="G914" s="23"/>
      <c r="H914" s="23"/>
      <c r="I914" s="23"/>
      <c r="J914" s="23"/>
      <c r="K914" s="23"/>
      <c r="L914" s="23"/>
      <c r="M914" s="23"/>
      <c r="N914" s="23"/>
      <c r="O914" s="23"/>
      <c r="Q914" s="23"/>
      <c r="S914" s="23"/>
    </row>
    <row r="915">
      <c r="B915" s="23"/>
      <c r="C915" s="23"/>
      <c r="E915" s="24"/>
      <c r="G915" s="23"/>
      <c r="H915" s="23"/>
      <c r="I915" s="23"/>
      <c r="J915" s="23"/>
      <c r="K915" s="23"/>
      <c r="L915" s="23"/>
      <c r="M915" s="23"/>
      <c r="N915" s="23"/>
      <c r="O915" s="23"/>
      <c r="Q915" s="23"/>
      <c r="S915" s="23"/>
    </row>
    <row r="916">
      <c r="B916" s="23"/>
      <c r="C916" s="23"/>
      <c r="E916" s="24"/>
      <c r="G916" s="23"/>
      <c r="H916" s="23"/>
      <c r="I916" s="23"/>
      <c r="J916" s="23"/>
      <c r="K916" s="23"/>
      <c r="L916" s="23"/>
      <c r="M916" s="23"/>
      <c r="N916" s="23"/>
      <c r="O916" s="23"/>
      <c r="Q916" s="23"/>
      <c r="S916" s="23"/>
    </row>
    <row r="917">
      <c r="B917" s="23"/>
      <c r="C917" s="23"/>
      <c r="E917" s="24"/>
      <c r="G917" s="23"/>
      <c r="H917" s="23"/>
      <c r="I917" s="23"/>
      <c r="J917" s="23"/>
      <c r="K917" s="23"/>
      <c r="L917" s="23"/>
      <c r="M917" s="23"/>
      <c r="N917" s="23"/>
      <c r="O917" s="23"/>
      <c r="Q917" s="23"/>
      <c r="S917" s="23"/>
    </row>
    <row r="918">
      <c r="B918" s="23"/>
      <c r="C918" s="23"/>
      <c r="E918" s="24"/>
      <c r="G918" s="23"/>
      <c r="H918" s="23"/>
      <c r="I918" s="23"/>
      <c r="J918" s="23"/>
      <c r="K918" s="23"/>
      <c r="L918" s="23"/>
      <c r="M918" s="23"/>
      <c r="N918" s="23"/>
      <c r="O918" s="23"/>
      <c r="Q918" s="23"/>
      <c r="S918" s="23"/>
    </row>
    <row r="919">
      <c r="B919" s="23"/>
      <c r="C919" s="23"/>
      <c r="E919" s="24"/>
      <c r="G919" s="23"/>
      <c r="H919" s="23"/>
      <c r="I919" s="23"/>
      <c r="J919" s="23"/>
      <c r="K919" s="23"/>
      <c r="L919" s="23"/>
      <c r="M919" s="23"/>
      <c r="N919" s="23"/>
      <c r="O919" s="23"/>
      <c r="Q919" s="23"/>
      <c r="S919" s="23"/>
    </row>
    <row r="920">
      <c r="B920" s="23"/>
      <c r="C920" s="23"/>
      <c r="E920" s="24"/>
      <c r="G920" s="23"/>
      <c r="H920" s="23"/>
      <c r="I920" s="23"/>
      <c r="J920" s="23"/>
      <c r="K920" s="23"/>
      <c r="L920" s="23"/>
      <c r="M920" s="23"/>
      <c r="N920" s="23"/>
      <c r="O920" s="23"/>
      <c r="Q920" s="23"/>
      <c r="S920" s="23"/>
    </row>
    <row r="921">
      <c r="B921" s="23"/>
      <c r="C921" s="23"/>
      <c r="E921" s="24"/>
      <c r="G921" s="23"/>
      <c r="H921" s="23"/>
      <c r="I921" s="23"/>
      <c r="J921" s="23"/>
      <c r="K921" s="23"/>
      <c r="L921" s="23"/>
      <c r="M921" s="23"/>
      <c r="N921" s="23"/>
      <c r="O921" s="23"/>
      <c r="Q921" s="23"/>
      <c r="S921" s="23"/>
    </row>
    <row r="922">
      <c r="B922" s="23"/>
      <c r="C922" s="23"/>
      <c r="E922" s="24"/>
      <c r="G922" s="23"/>
      <c r="H922" s="23"/>
      <c r="I922" s="23"/>
      <c r="J922" s="23"/>
      <c r="K922" s="23"/>
      <c r="L922" s="23"/>
      <c r="M922" s="23"/>
      <c r="N922" s="23"/>
      <c r="O922" s="23"/>
      <c r="Q922" s="23"/>
      <c r="S922" s="23"/>
    </row>
    <row r="923">
      <c r="B923" s="23"/>
      <c r="C923" s="23"/>
      <c r="E923" s="24"/>
      <c r="G923" s="23"/>
      <c r="H923" s="23"/>
      <c r="I923" s="23"/>
      <c r="J923" s="23"/>
      <c r="K923" s="23"/>
      <c r="L923" s="23"/>
      <c r="M923" s="23"/>
      <c r="N923" s="23"/>
      <c r="O923" s="23"/>
      <c r="Q923" s="23"/>
      <c r="S923" s="23"/>
    </row>
    <row r="924">
      <c r="B924" s="23"/>
      <c r="C924" s="23"/>
      <c r="E924" s="24"/>
      <c r="G924" s="23"/>
      <c r="H924" s="23"/>
      <c r="I924" s="23"/>
      <c r="J924" s="23"/>
      <c r="K924" s="23"/>
      <c r="L924" s="23"/>
      <c r="M924" s="23"/>
      <c r="N924" s="23"/>
      <c r="O924" s="23"/>
      <c r="Q924" s="23"/>
      <c r="S924" s="23"/>
    </row>
    <row r="925">
      <c r="B925" s="23"/>
      <c r="C925" s="23"/>
      <c r="E925" s="24"/>
      <c r="G925" s="23"/>
      <c r="H925" s="23"/>
      <c r="I925" s="23"/>
      <c r="J925" s="23"/>
      <c r="K925" s="23"/>
      <c r="L925" s="23"/>
      <c r="M925" s="23"/>
      <c r="N925" s="23"/>
      <c r="O925" s="23"/>
      <c r="Q925" s="23"/>
      <c r="S925" s="23"/>
    </row>
    <row r="926">
      <c r="B926" s="23"/>
      <c r="C926" s="23"/>
      <c r="E926" s="24"/>
      <c r="G926" s="23"/>
      <c r="H926" s="23"/>
      <c r="I926" s="23"/>
      <c r="J926" s="23"/>
      <c r="K926" s="23"/>
      <c r="L926" s="23"/>
      <c r="M926" s="23"/>
      <c r="N926" s="23"/>
      <c r="O926" s="23"/>
      <c r="Q926" s="23"/>
      <c r="S926" s="23"/>
    </row>
    <row r="927">
      <c r="B927" s="23"/>
      <c r="C927" s="23"/>
      <c r="E927" s="24"/>
      <c r="G927" s="23"/>
      <c r="H927" s="23"/>
      <c r="I927" s="23"/>
      <c r="J927" s="23"/>
      <c r="K927" s="23"/>
      <c r="L927" s="23"/>
      <c r="M927" s="23"/>
      <c r="N927" s="23"/>
      <c r="O927" s="23"/>
      <c r="Q927" s="23"/>
      <c r="S927" s="23"/>
    </row>
    <row r="928">
      <c r="B928" s="23"/>
      <c r="C928" s="23"/>
      <c r="E928" s="24"/>
      <c r="G928" s="23"/>
      <c r="H928" s="23"/>
      <c r="I928" s="23"/>
      <c r="J928" s="23"/>
      <c r="K928" s="23"/>
      <c r="L928" s="23"/>
      <c r="M928" s="23"/>
      <c r="N928" s="23"/>
      <c r="O928" s="23"/>
      <c r="Q928" s="23"/>
      <c r="S928" s="23"/>
    </row>
    <row r="929">
      <c r="B929" s="23"/>
      <c r="C929" s="23"/>
      <c r="E929" s="24"/>
      <c r="G929" s="23"/>
      <c r="H929" s="23"/>
      <c r="I929" s="23"/>
      <c r="J929" s="23"/>
      <c r="K929" s="23"/>
      <c r="L929" s="23"/>
      <c r="M929" s="23"/>
      <c r="N929" s="23"/>
      <c r="O929" s="23"/>
      <c r="Q929" s="23"/>
      <c r="S929" s="23"/>
    </row>
    <row r="930">
      <c r="B930" s="23"/>
      <c r="C930" s="23"/>
      <c r="E930" s="24"/>
      <c r="G930" s="23"/>
      <c r="H930" s="23"/>
      <c r="I930" s="23"/>
      <c r="J930" s="23"/>
      <c r="K930" s="23"/>
      <c r="L930" s="23"/>
      <c r="M930" s="23"/>
      <c r="N930" s="23"/>
      <c r="O930" s="23"/>
      <c r="Q930" s="23"/>
      <c r="S930" s="23"/>
    </row>
    <row r="931">
      <c r="B931" s="23"/>
      <c r="C931" s="23"/>
      <c r="E931" s="24"/>
      <c r="G931" s="23"/>
      <c r="H931" s="23"/>
      <c r="I931" s="23"/>
      <c r="J931" s="23"/>
      <c r="K931" s="23"/>
      <c r="L931" s="23"/>
      <c r="M931" s="23"/>
      <c r="N931" s="23"/>
      <c r="O931" s="23"/>
      <c r="Q931" s="23"/>
      <c r="S931" s="23"/>
    </row>
    <row r="932">
      <c r="B932" s="23"/>
      <c r="C932" s="23"/>
      <c r="E932" s="24"/>
      <c r="G932" s="23"/>
      <c r="H932" s="23"/>
      <c r="I932" s="23"/>
      <c r="J932" s="23"/>
      <c r="K932" s="23"/>
      <c r="L932" s="23"/>
      <c r="M932" s="23"/>
      <c r="N932" s="23"/>
      <c r="O932" s="23"/>
      <c r="Q932" s="23"/>
      <c r="S932" s="23"/>
    </row>
    <row r="933">
      <c r="B933" s="23"/>
      <c r="C933" s="23"/>
      <c r="E933" s="24"/>
      <c r="G933" s="23"/>
      <c r="H933" s="23"/>
      <c r="I933" s="23"/>
      <c r="J933" s="23"/>
      <c r="K933" s="23"/>
      <c r="L933" s="23"/>
      <c r="M933" s="23"/>
      <c r="N933" s="23"/>
      <c r="O933" s="23"/>
      <c r="Q933" s="23"/>
      <c r="S933" s="23"/>
    </row>
    <row r="934">
      <c r="B934" s="23"/>
      <c r="C934" s="23"/>
      <c r="E934" s="24"/>
      <c r="G934" s="23"/>
      <c r="H934" s="23"/>
      <c r="I934" s="23"/>
      <c r="J934" s="23"/>
      <c r="K934" s="23"/>
      <c r="L934" s="23"/>
      <c r="M934" s="23"/>
      <c r="N934" s="23"/>
      <c r="O934" s="23"/>
      <c r="Q934" s="23"/>
      <c r="S934" s="23"/>
    </row>
    <row r="935">
      <c r="B935" s="23"/>
      <c r="C935" s="23"/>
      <c r="E935" s="24"/>
      <c r="G935" s="23"/>
      <c r="H935" s="23"/>
      <c r="I935" s="23"/>
      <c r="J935" s="23"/>
      <c r="K935" s="23"/>
      <c r="L935" s="23"/>
      <c r="M935" s="23"/>
      <c r="N935" s="23"/>
      <c r="O935" s="23"/>
      <c r="Q935" s="23"/>
      <c r="S935" s="23"/>
    </row>
    <row r="936">
      <c r="B936" s="23"/>
      <c r="C936" s="23"/>
      <c r="E936" s="24"/>
      <c r="G936" s="23"/>
      <c r="H936" s="23"/>
      <c r="I936" s="23"/>
      <c r="J936" s="23"/>
      <c r="K936" s="23"/>
      <c r="L936" s="23"/>
      <c r="M936" s="23"/>
      <c r="N936" s="23"/>
      <c r="O936" s="23"/>
      <c r="Q936" s="23"/>
      <c r="S936" s="23"/>
    </row>
    <row r="937">
      <c r="B937" s="23"/>
      <c r="C937" s="23"/>
      <c r="E937" s="24"/>
      <c r="G937" s="23"/>
      <c r="H937" s="23"/>
      <c r="I937" s="23"/>
      <c r="J937" s="23"/>
      <c r="K937" s="23"/>
      <c r="L937" s="23"/>
      <c r="M937" s="23"/>
      <c r="N937" s="23"/>
      <c r="O937" s="23"/>
      <c r="Q937" s="23"/>
      <c r="S937" s="23"/>
    </row>
    <row r="938">
      <c r="B938" s="23"/>
      <c r="C938" s="23"/>
      <c r="E938" s="24"/>
      <c r="G938" s="23"/>
      <c r="H938" s="23"/>
      <c r="I938" s="23"/>
      <c r="J938" s="23"/>
      <c r="K938" s="23"/>
      <c r="L938" s="23"/>
      <c r="M938" s="23"/>
      <c r="N938" s="23"/>
      <c r="O938" s="23"/>
      <c r="Q938" s="23"/>
      <c r="S938" s="23"/>
    </row>
    <row r="939">
      <c r="B939" s="23"/>
      <c r="C939" s="23"/>
      <c r="E939" s="24"/>
      <c r="G939" s="23"/>
      <c r="H939" s="23"/>
      <c r="I939" s="23"/>
      <c r="J939" s="23"/>
      <c r="K939" s="23"/>
      <c r="L939" s="23"/>
      <c r="M939" s="23"/>
      <c r="N939" s="23"/>
      <c r="O939" s="23"/>
      <c r="Q939" s="23"/>
      <c r="S939" s="23"/>
    </row>
    <row r="940">
      <c r="B940" s="23"/>
      <c r="C940" s="23"/>
      <c r="E940" s="24"/>
      <c r="G940" s="23"/>
      <c r="H940" s="23"/>
      <c r="I940" s="23"/>
      <c r="J940" s="23"/>
      <c r="K940" s="23"/>
      <c r="L940" s="23"/>
      <c r="M940" s="23"/>
      <c r="N940" s="23"/>
      <c r="O940" s="23"/>
      <c r="Q940" s="23"/>
      <c r="S940" s="23"/>
    </row>
    <row r="941">
      <c r="B941" s="23"/>
      <c r="C941" s="23"/>
      <c r="E941" s="24"/>
      <c r="G941" s="23"/>
      <c r="H941" s="23"/>
      <c r="I941" s="23"/>
      <c r="J941" s="23"/>
      <c r="K941" s="23"/>
      <c r="L941" s="23"/>
      <c r="M941" s="23"/>
      <c r="N941" s="23"/>
      <c r="O941" s="23"/>
      <c r="Q941" s="23"/>
      <c r="S941" s="23"/>
    </row>
    <row r="942">
      <c r="B942" s="23"/>
      <c r="C942" s="23"/>
      <c r="E942" s="24"/>
      <c r="G942" s="23"/>
      <c r="H942" s="23"/>
      <c r="I942" s="23"/>
      <c r="J942" s="23"/>
      <c r="K942" s="23"/>
      <c r="L942" s="23"/>
      <c r="M942" s="23"/>
      <c r="N942" s="23"/>
      <c r="O942" s="23"/>
      <c r="Q942" s="23"/>
      <c r="S942" s="23"/>
    </row>
    <row r="943">
      <c r="B943" s="23"/>
      <c r="C943" s="23"/>
      <c r="E943" s="24"/>
      <c r="G943" s="23"/>
      <c r="H943" s="23"/>
      <c r="I943" s="23"/>
      <c r="J943" s="23"/>
      <c r="K943" s="23"/>
      <c r="L943" s="23"/>
      <c r="M943" s="23"/>
      <c r="N943" s="23"/>
      <c r="O943" s="23"/>
      <c r="Q943" s="23"/>
      <c r="S943" s="23"/>
    </row>
    <row r="944">
      <c r="B944" s="23"/>
      <c r="C944" s="23"/>
      <c r="E944" s="24"/>
      <c r="G944" s="23"/>
      <c r="H944" s="23"/>
      <c r="I944" s="23"/>
      <c r="J944" s="23"/>
      <c r="K944" s="23"/>
      <c r="L944" s="23"/>
      <c r="M944" s="23"/>
      <c r="N944" s="23"/>
      <c r="O944" s="23"/>
      <c r="Q944" s="23"/>
      <c r="S944" s="23"/>
    </row>
    <row r="945">
      <c r="B945" s="23"/>
      <c r="C945" s="23"/>
      <c r="E945" s="24"/>
      <c r="G945" s="23"/>
      <c r="H945" s="23"/>
      <c r="I945" s="23"/>
      <c r="J945" s="23"/>
      <c r="K945" s="23"/>
      <c r="L945" s="23"/>
      <c r="M945" s="23"/>
      <c r="N945" s="23"/>
      <c r="O945" s="23"/>
      <c r="Q945" s="23"/>
      <c r="S945" s="23"/>
    </row>
    <row r="946">
      <c r="B946" s="23"/>
      <c r="C946" s="23"/>
      <c r="E946" s="24"/>
      <c r="G946" s="23"/>
      <c r="H946" s="23"/>
      <c r="I946" s="23"/>
      <c r="J946" s="23"/>
      <c r="K946" s="23"/>
      <c r="L946" s="23"/>
      <c r="M946" s="23"/>
      <c r="N946" s="23"/>
      <c r="O946" s="23"/>
      <c r="Q946" s="23"/>
      <c r="S946" s="23"/>
    </row>
    <row r="947">
      <c r="B947" s="23"/>
      <c r="C947" s="23"/>
      <c r="E947" s="24"/>
      <c r="G947" s="23"/>
      <c r="H947" s="23"/>
      <c r="I947" s="23"/>
      <c r="J947" s="23"/>
      <c r="K947" s="23"/>
      <c r="L947" s="23"/>
      <c r="M947" s="23"/>
      <c r="N947" s="23"/>
      <c r="O947" s="23"/>
      <c r="Q947" s="23"/>
      <c r="S947" s="23"/>
    </row>
    <row r="948">
      <c r="B948" s="23"/>
      <c r="C948" s="23"/>
      <c r="E948" s="24"/>
      <c r="G948" s="23"/>
      <c r="H948" s="23"/>
      <c r="I948" s="23"/>
      <c r="J948" s="23"/>
      <c r="K948" s="23"/>
      <c r="L948" s="23"/>
      <c r="M948" s="23"/>
      <c r="N948" s="23"/>
      <c r="O948" s="23"/>
      <c r="Q948" s="23"/>
      <c r="S948" s="23"/>
    </row>
    <row r="949">
      <c r="B949" s="23"/>
      <c r="C949" s="23"/>
      <c r="E949" s="24"/>
      <c r="G949" s="23"/>
      <c r="H949" s="23"/>
      <c r="I949" s="23"/>
      <c r="J949" s="23"/>
      <c r="K949" s="23"/>
      <c r="L949" s="23"/>
      <c r="M949" s="23"/>
      <c r="N949" s="23"/>
      <c r="O949" s="23"/>
      <c r="Q949" s="23"/>
      <c r="S949" s="23"/>
    </row>
    <row r="950">
      <c r="B950" s="23"/>
      <c r="C950" s="23"/>
      <c r="E950" s="24"/>
      <c r="G950" s="23"/>
      <c r="H950" s="23"/>
      <c r="I950" s="23"/>
      <c r="J950" s="23"/>
      <c r="K950" s="23"/>
      <c r="L950" s="23"/>
      <c r="M950" s="23"/>
      <c r="N950" s="23"/>
      <c r="O950" s="23"/>
      <c r="Q950" s="23"/>
      <c r="S950" s="23"/>
    </row>
    <row r="951">
      <c r="B951" s="23"/>
      <c r="C951" s="23"/>
      <c r="E951" s="24"/>
      <c r="G951" s="23"/>
      <c r="H951" s="23"/>
      <c r="I951" s="23"/>
      <c r="J951" s="23"/>
      <c r="K951" s="23"/>
      <c r="L951" s="23"/>
      <c r="M951" s="23"/>
      <c r="N951" s="23"/>
      <c r="O951" s="23"/>
      <c r="Q951" s="23"/>
      <c r="S951" s="23"/>
    </row>
    <row r="952">
      <c r="B952" s="23"/>
      <c r="C952" s="23"/>
      <c r="E952" s="24"/>
      <c r="G952" s="23"/>
      <c r="H952" s="23"/>
      <c r="I952" s="23"/>
      <c r="J952" s="23"/>
      <c r="K952" s="23"/>
      <c r="L952" s="23"/>
      <c r="M952" s="23"/>
      <c r="N952" s="23"/>
      <c r="O952" s="23"/>
      <c r="Q952" s="23"/>
      <c r="S952" s="23"/>
    </row>
    <row r="953">
      <c r="B953" s="23"/>
      <c r="C953" s="23"/>
      <c r="E953" s="24"/>
      <c r="G953" s="23"/>
      <c r="H953" s="23"/>
      <c r="I953" s="23"/>
      <c r="J953" s="23"/>
      <c r="K953" s="23"/>
      <c r="L953" s="23"/>
      <c r="M953" s="23"/>
      <c r="N953" s="23"/>
      <c r="O953" s="23"/>
      <c r="Q953" s="23"/>
      <c r="S953" s="23"/>
    </row>
    <row r="954">
      <c r="B954" s="23"/>
      <c r="C954" s="23"/>
      <c r="E954" s="24"/>
      <c r="G954" s="23"/>
      <c r="H954" s="23"/>
      <c r="I954" s="23"/>
      <c r="J954" s="23"/>
      <c r="K954" s="23"/>
      <c r="L954" s="23"/>
      <c r="M954" s="23"/>
      <c r="N954" s="23"/>
      <c r="O954" s="23"/>
      <c r="Q954" s="23"/>
      <c r="S954" s="23"/>
    </row>
    <row r="955">
      <c r="B955" s="23"/>
      <c r="C955" s="23"/>
      <c r="E955" s="24"/>
      <c r="G955" s="23"/>
      <c r="H955" s="23"/>
      <c r="I955" s="23"/>
      <c r="J955" s="23"/>
      <c r="K955" s="23"/>
      <c r="L955" s="23"/>
      <c r="M955" s="23"/>
      <c r="N955" s="23"/>
      <c r="O955" s="23"/>
      <c r="Q955" s="23"/>
      <c r="S955" s="23"/>
    </row>
    <row r="956">
      <c r="B956" s="23"/>
      <c r="C956" s="23"/>
      <c r="E956" s="24"/>
      <c r="G956" s="23"/>
      <c r="H956" s="23"/>
      <c r="I956" s="23"/>
      <c r="J956" s="23"/>
      <c r="K956" s="23"/>
      <c r="L956" s="23"/>
      <c r="M956" s="23"/>
      <c r="N956" s="23"/>
      <c r="O956" s="23"/>
      <c r="Q956" s="23"/>
      <c r="S956" s="23"/>
    </row>
    <row r="957">
      <c r="B957" s="23"/>
      <c r="C957" s="23"/>
      <c r="E957" s="24"/>
      <c r="G957" s="23"/>
      <c r="H957" s="23"/>
      <c r="I957" s="23"/>
      <c r="J957" s="23"/>
      <c r="K957" s="23"/>
      <c r="L957" s="23"/>
      <c r="M957" s="23"/>
      <c r="N957" s="23"/>
      <c r="O957" s="23"/>
      <c r="Q957" s="23"/>
      <c r="S957" s="23"/>
    </row>
    <row r="958">
      <c r="B958" s="23"/>
      <c r="C958" s="23"/>
      <c r="E958" s="24"/>
      <c r="G958" s="23"/>
      <c r="H958" s="23"/>
      <c r="I958" s="23"/>
      <c r="J958" s="23"/>
      <c r="K958" s="23"/>
      <c r="L958" s="23"/>
      <c r="M958" s="23"/>
      <c r="N958" s="23"/>
      <c r="O958" s="23"/>
      <c r="Q958" s="23"/>
      <c r="S958" s="23"/>
    </row>
    <row r="959">
      <c r="B959" s="23"/>
      <c r="C959" s="23"/>
      <c r="E959" s="24"/>
      <c r="G959" s="23"/>
      <c r="H959" s="23"/>
      <c r="I959" s="23"/>
      <c r="J959" s="23"/>
      <c r="K959" s="23"/>
      <c r="L959" s="23"/>
      <c r="M959" s="23"/>
      <c r="N959" s="23"/>
      <c r="O959" s="23"/>
      <c r="Q959" s="23"/>
      <c r="S959" s="23"/>
    </row>
    <row r="960">
      <c r="B960" s="23"/>
      <c r="C960" s="23"/>
      <c r="E960" s="24"/>
      <c r="G960" s="23"/>
      <c r="H960" s="23"/>
      <c r="I960" s="23"/>
      <c r="J960" s="23"/>
      <c r="K960" s="23"/>
      <c r="L960" s="23"/>
      <c r="M960" s="23"/>
      <c r="N960" s="23"/>
      <c r="O960" s="23"/>
      <c r="Q960" s="23"/>
      <c r="S960" s="23"/>
    </row>
    <row r="961">
      <c r="B961" s="23"/>
      <c r="C961" s="23"/>
      <c r="E961" s="24"/>
      <c r="G961" s="23"/>
      <c r="H961" s="23"/>
      <c r="I961" s="23"/>
      <c r="J961" s="23"/>
      <c r="K961" s="23"/>
      <c r="L961" s="23"/>
      <c r="M961" s="23"/>
      <c r="N961" s="23"/>
      <c r="O961" s="23"/>
      <c r="Q961" s="23"/>
      <c r="S961" s="23"/>
    </row>
    <row r="962">
      <c r="B962" s="23"/>
      <c r="C962" s="23"/>
      <c r="E962" s="24"/>
      <c r="G962" s="23"/>
      <c r="H962" s="23"/>
      <c r="I962" s="23"/>
      <c r="J962" s="23"/>
      <c r="K962" s="23"/>
      <c r="L962" s="23"/>
      <c r="M962" s="23"/>
      <c r="N962" s="23"/>
      <c r="O962" s="23"/>
      <c r="Q962" s="23"/>
      <c r="S962" s="23"/>
    </row>
    <row r="963">
      <c r="B963" s="23"/>
      <c r="C963" s="23"/>
      <c r="E963" s="24"/>
      <c r="G963" s="23"/>
      <c r="H963" s="23"/>
      <c r="I963" s="23"/>
      <c r="J963" s="23"/>
      <c r="K963" s="23"/>
      <c r="L963" s="23"/>
      <c r="M963" s="23"/>
      <c r="N963" s="23"/>
      <c r="O963" s="23"/>
      <c r="Q963" s="23"/>
      <c r="S963" s="23"/>
    </row>
    <row r="964">
      <c r="B964" s="23"/>
      <c r="C964" s="23"/>
      <c r="E964" s="24"/>
      <c r="G964" s="23"/>
      <c r="H964" s="23"/>
      <c r="I964" s="23"/>
      <c r="J964" s="23"/>
      <c r="K964" s="23"/>
      <c r="L964" s="23"/>
      <c r="M964" s="23"/>
      <c r="N964" s="23"/>
      <c r="O964" s="23"/>
      <c r="Q964" s="23"/>
      <c r="S964" s="23"/>
    </row>
    <row r="965">
      <c r="B965" s="23"/>
      <c r="C965" s="23"/>
      <c r="E965" s="24"/>
      <c r="G965" s="23"/>
      <c r="H965" s="23"/>
      <c r="I965" s="23"/>
      <c r="J965" s="23"/>
      <c r="K965" s="23"/>
      <c r="L965" s="23"/>
      <c r="M965" s="23"/>
      <c r="N965" s="23"/>
      <c r="O965" s="23"/>
      <c r="Q965" s="23"/>
      <c r="S965" s="23"/>
    </row>
    <row r="966">
      <c r="B966" s="23"/>
      <c r="C966" s="23"/>
      <c r="E966" s="24"/>
      <c r="G966" s="23"/>
      <c r="H966" s="23"/>
      <c r="I966" s="23"/>
      <c r="J966" s="23"/>
      <c r="K966" s="23"/>
      <c r="L966" s="23"/>
      <c r="M966" s="23"/>
      <c r="N966" s="23"/>
      <c r="O966" s="23"/>
      <c r="Q966" s="23"/>
      <c r="S966" s="23"/>
    </row>
    <row r="967">
      <c r="B967" s="23"/>
      <c r="C967" s="23"/>
      <c r="E967" s="24"/>
      <c r="G967" s="23"/>
      <c r="H967" s="23"/>
      <c r="I967" s="23"/>
      <c r="J967" s="23"/>
      <c r="K967" s="23"/>
      <c r="L967" s="23"/>
      <c r="M967" s="23"/>
      <c r="N967" s="23"/>
      <c r="O967" s="23"/>
      <c r="Q967" s="23"/>
      <c r="S967" s="23"/>
    </row>
    <row r="968">
      <c r="B968" s="23"/>
      <c r="C968" s="23"/>
      <c r="E968" s="24"/>
      <c r="G968" s="23"/>
      <c r="H968" s="23"/>
      <c r="I968" s="23"/>
      <c r="J968" s="23"/>
      <c r="K968" s="23"/>
      <c r="L968" s="23"/>
      <c r="M968" s="23"/>
      <c r="N968" s="23"/>
      <c r="O968" s="23"/>
      <c r="Q968" s="23"/>
      <c r="S968" s="23"/>
    </row>
    <row r="969">
      <c r="B969" s="23"/>
      <c r="C969" s="23"/>
      <c r="E969" s="24"/>
      <c r="G969" s="23"/>
      <c r="H969" s="23"/>
      <c r="I969" s="23"/>
      <c r="J969" s="23"/>
      <c r="K969" s="23"/>
      <c r="L969" s="23"/>
      <c r="M969" s="23"/>
      <c r="N969" s="23"/>
      <c r="O969" s="23"/>
      <c r="Q969" s="23"/>
      <c r="S969" s="23"/>
    </row>
    <row r="970">
      <c r="B970" s="23"/>
      <c r="C970" s="23"/>
      <c r="E970" s="24"/>
      <c r="G970" s="23"/>
      <c r="H970" s="23"/>
      <c r="I970" s="23"/>
      <c r="J970" s="23"/>
      <c r="K970" s="23"/>
      <c r="L970" s="23"/>
      <c r="M970" s="23"/>
      <c r="N970" s="23"/>
      <c r="O970" s="23"/>
      <c r="Q970" s="23"/>
      <c r="S970" s="23"/>
    </row>
    <row r="971">
      <c r="B971" s="23"/>
      <c r="C971" s="23"/>
      <c r="E971" s="24"/>
      <c r="G971" s="23"/>
      <c r="H971" s="23"/>
      <c r="I971" s="23"/>
      <c r="J971" s="23"/>
      <c r="K971" s="23"/>
      <c r="L971" s="23"/>
      <c r="M971" s="23"/>
      <c r="N971" s="23"/>
      <c r="O971" s="23"/>
      <c r="Q971" s="23"/>
      <c r="S971" s="23"/>
    </row>
    <row r="972">
      <c r="B972" s="23"/>
      <c r="C972" s="23"/>
      <c r="E972" s="24"/>
      <c r="G972" s="23"/>
      <c r="H972" s="23"/>
      <c r="I972" s="23"/>
      <c r="J972" s="23"/>
      <c r="K972" s="23"/>
      <c r="L972" s="23"/>
      <c r="M972" s="23"/>
      <c r="N972" s="23"/>
      <c r="O972" s="23"/>
      <c r="Q972" s="23"/>
      <c r="S972" s="23"/>
    </row>
    <row r="973">
      <c r="B973" s="23"/>
      <c r="C973" s="23"/>
      <c r="E973" s="24"/>
      <c r="G973" s="23"/>
      <c r="H973" s="23"/>
      <c r="I973" s="23"/>
      <c r="J973" s="23"/>
      <c r="K973" s="23"/>
      <c r="L973" s="23"/>
      <c r="M973" s="23"/>
      <c r="N973" s="23"/>
      <c r="O973" s="23"/>
      <c r="Q973" s="23"/>
      <c r="S973" s="23"/>
    </row>
    <row r="974">
      <c r="B974" s="23"/>
      <c r="C974" s="23"/>
      <c r="E974" s="24"/>
      <c r="G974" s="23"/>
      <c r="H974" s="23"/>
      <c r="I974" s="23"/>
      <c r="J974" s="23"/>
      <c r="K974" s="23"/>
      <c r="L974" s="23"/>
      <c r="M974" s="23"/>
      <c r="N974" s="23"/>
      <c r="O974" s="23"/>
      <c r="Q974" s="23"/>
      <c r="S974" s="23"/>
    </row>
    <row r="975">
      <c r="B975" s="23"/>
      <c r="C975" s="23"/>
      <c r="E975" s="24"/>
      <c r="G975" s="23"/>
      <c r="H975" s="23"/>
      <c r="I975" s="23"/>
      <c r="J975" s="23"/>
      <c r="K975" s="23"/>
      <c r="L975" s="23"/>
      <c r="M975" s="23"/>
      <c r="N975" s="23"/>
      <c r="O975" s="23"/>
      <c r="Q975" s="23"/>
      <c r="S975" s="23"/>
    </row>
    <row r="976">
      <c r="B976" s="23"/>
      <c r="C976" s="23"/>
      <c r="E976" s="24"/>
      <c r="G976" s="23"/>
      <c r="H976" s="23"/>
      <c r="I976" s="23"/>
      <c r="J976" s="23"/>
      <c r="K976" s="23"/>
      <c r="L976" s="23"/>
      <c r="M976" s="23"/>
      <c r="N976" s="23"/>
      <c r="O976" s="23"/>
      <c r="Q976" s="23"/>
      <c r="S976" s="23"/>
    </row>
    <row r="977">
      <c r="B977" s="23"/>
      <c r="C977" s="23"/>
      <c r="E977" s="24"/>
      <c r="G977" s="23"/>
      <c r="H977" s="23"/>
      <c r="I977" s="23"/>
      <c r="J977" s="23"/>
      <c r="K977" s="23"/>
      <c r="L977" s="23"/>
      <c r="M977" s="23"/>
      <c r="N977" s="23"/>
      <c r="O977" s="23"/>
      <c r="Q977" s="23"/>
      <c r="S977" s="23"/>
    </row>
    <row r="978">
      <c r="B978" s="23"/>
      <c r="C978" s="23"/>
      <c r="E978" s="24"/>
      <c r="G978" s="23"/>
      <c r="H978" s="23"/>
      <c r="I978" s="23"/>
      <c r="J978" s="23"/>
      <c r="K978" s="23"/>
      <c r="L978" s="23"/>
      <c r="M978" s="23"/>
      <c r="N978" s="23"/>
      <c r="O978" s="23"/>
      <c r="Q978" s="23"/>
      <c r="S978" s="23"/>
    </row>
    <row r="979">
      <c r="B979" s="23"/>
      <c r="C979" s="23"/>
      <c r="E979" s="24"/>
      <c r="G979" s="23"/>
      <c r="H979" s="23"/>
      <c r="I979" s="23"/>
      <c r="J979" s="23"/>
      <c r="K979" s="23"/>
      <c r="L979" s="23"/>
      <c r="M979" s="23"/>
      <c r="N979" s="23"/>
      <c r="O979" s="23"/>
      <c r="Q979" s="23"/>
      <c r="S979" s="23"/>
    </row>
    <row r="980">
      <c r="B980" s="23"/>
      <c r="C980" s="23"/>
      <c r="E980" s="24"/>
      <c r="G980" s="23"/>
      <c r="H980" s="23"/>
      <c r="I980" s="23"/>
      <c r="J980" s="23"/>
      <c r="K980" s="23"/>
      <c r="L980" s="23"/>
      <c r="M980" s="23"/>
      <c r="N980" s="23"/>
      <c r="O980" s="23"/>
      <c r="Q980" s="23"/>
      <c r="S980" s="23"/>
    </row>
    <row r="981">
      <c r="B981" s="23"/>
      <c r="C981" s="23"/>
      <c r="E981" s="24"/>
      <c r="G981" s="23"/>
      <c r="H981" s="23"/>
      <c r="I981" s="23"/>
      <c r="J981" s="23"/>
      <c r="K981" s="23"/>
      <c r="L981" s="23"/>
      <c r="M981" s="23"/>
      <c r="N981" s="23"/>
      <c r="O981" s="23"/>
      <c r="Q981" s="23"/>
      <c r="S981" s="23"/>
    </row>
    <row r="982">
      <c r="B982" s="23"/>
      <c r="C982" s="23"/>
      <c r="E982" s="24"/>
      <c r="G982" s="23"/>
      <c r="H982" s="23"/>
      <c r="I982" s="23"/>
      <c r="J982" s="23"/>
      <c r="K982" s="23"/>
      <c r="L982" s="23"/>
      <c r="M982" s="23"/>
      <c r="N982" s="23"/>
      <c r="O982" s="23"/>
      <c r="Q982" s="23"/>
      <c r="S982" s="23"/>
    </row>
    <row r="983">
      <c r="B983" s="23"/>
      <c r="C983" s="23"/>
      <c r="E983" s="24"/>
      <c r="G983" s="23"/>
      <c r="H983" s="23"/>
      <c r="I983" s="23"/>
      <c r="J983" s="23"/>
      <c r="K983" s="23"/>
      <c r="L983" s="23"/>
      <c r="M983" s="23"/>
      <c r="N983" s="23"/>
      <c r="O983" s="23"/>
      <c r="Q983" s="23"/>
      <c r="S983" s="23"/>
    </row>
    <row r="984">
      <c r="B984" s="23"/>
      <c r="C984" s="23"/>
      <c r="E984" s="24"/>
      <c r="G984" s="23"/>
      <c r="H984" s="23"/>
      <c r="I984" s="23"/>
      <c r="J984" s="23"/>
      <c r="K984" s="23"/>
      <c r="L984" s="23"/>
      <c r="M984" s="23"/>
      <c r="N984" s="23"/>
      <c r="O984" s="23"/>
      <c r="Q984" s="23"/>
      <c r="S984" s="23"/>
    </row>
    <row r="985">
      <c r="B985" s="23"/>
      <c r="C985" s="23"/>
      <c r="E985" s="24"/>
      <c r="G985" s="23"/>
      <c r="H985" s="23"/>
      <c r="I985" s="23"/>
      <c r="J985" s="23"/>
      <c r="K985" s="23"/>
      <c r="L985" s="23"/>
      <c r="M985" s="23"/>
      <c r="N985" s="23"/>
      <c r="O985" s="23"/>
      <c r="Q985" s="23"/>
      <c r="S985" s="23"/>
    </row>
    <row r="986">
      <c r="B986" s="23"/>
      <c r="C986" s="23"/>
      <c r="E986" s="24"/>
      <c r="G986" s="23"/>
      <c r="H986" s="23"/>
      <c r="I986" s="23"/>
      <c r="J986" s="23"/>
      <c r="K986" s="23"/>
      <c r="L986" s="23"/>
      <c r="M986" s="23"/>
      <c r="N986" s="23"/>
      <c r="O986" s="23"/>
      <c r="Q986" s="23"/>
      <c r="S986" s="23"/>
    </row>
    <row r="987">
      <c r="B987" s="23"/>
      <c r="C987" s="23"/>
      <c r="E987" s="24"/>
      <c r="G987" s="23"/>
      <c r="H987" s="23"/>
      <c r="I987" s="23"/>
      <c r="J987" s="23"/>
      <c r="K987" s="23"/>
      <c r="L987" s="23"/>
      <c r="M987" s="23"/>
      <c r="N987" s="23"/>
      <c r="O987" s="23"/>
      <c r="Q987" s="23"/>
      <c r="S987" s="23"/>
    </row>
    <row r="988">
      <c r="B988" s="23"/>
      <c r="C988" s="23"/>
      <c r="E988" s="24"/>
      <c r="G988" s="23"/>
      <c r="H988" s="23"/>
      <c r="I988" s="23"/>
      <c r="J988" s="23"/>
      <c r="K988" s="23"/>
      <c r="L988" s="23"/>
      <c r="M988" s="23"/>
      <c r="N988" s="23"/>
      <c r="O988" s="23"/>
      <c r="Q988" s="23"/>
      <c r="S988" s="23"/>
    </row>
    <row r="989">
      <c r="B989" s="23"/>
      <c r="C989" s="23"/>
      <c r="E989" s="24"/>
      <c r="G989" s="23"/>
      <c r="H989" s="23"/>
      <c r="I989" s="23"/>
      <c r="J989" s="23"/>
      <c r="K989" s="23"/>
      <c r="L989" s="23"/>
      <c r="M989" s="23"/>
      <c r="N989" s="23"/>
      <c r="O989" s="23"/>
      <c r="Q989" s="23"/>
      <c r="S989" s="23"/>
    </row>
    <row r="990">
      <c r="B990" s="23"/>
      <c r="C990" s="23"/>
      <c r="E990" s="24"/>
      <c r="G990" s="23"/>
      <c r="H990" s="23"/>
      <c r="I990" s="23"/>
      <c r="J990" s="23"/>
      <c r="K990" s="23"/>
      <c r="L990" s="23"/>
      <c r="M990" s="23"/>
      <c r="N990" s="23"/>
      <c r="O990" s="23"/>
      <c r="Q990" s="23"/>
      <c r="S990" s="23"/>
    </row>
    <row r="991">
      <c r="B991" s="23"/>
      <c r="C991" s="23"/>
      <c r="E991" s="24"/>
      <c r="G991" s="23"/>
      <c r="H991" s="23"/>
      <c r="I991" s="23"/>
      <c r="J991" s="23"/>
      <c r="K991" s="23"/>
      <c r="L991" s="23"/>
      <c r="M991" s="23"/>
      <c r="N991" s="23"/>
      <c r="O991" s="23"/>
      <c r="Q991" s="23"/>
      <c r="S991" s="23"/>
    </row>
    <row r="992">
      <c r="B992" s="23"/>
      <c r="C992" s="23"/>
      <c r="E992" s="24"/>
      <c r="G992" s="23"/>
      <c r="H992" s="23"/>
      <c r="I992" s="23"/>
      <c r="J992" s="23"/>
      <c r="K992" s="23"/>
      <c r="L992" s="23"/>
      <c r="M992" s="23"/>
      <c r="N992" s="23"/>
      <c r="O992" s="23"/>
      <c r="Q992" s="23"/>
      <c r="S992" s="23"/>
    </row>
    <row r="993">
      <c r="B993" s="23"/>
      <c r="C993" s="23"/>
      <c r="E993" s="24"/>
      <c r="G993" s="23"/>
      <c r="H993" s="23"/>
      <c r="I993" s="23"/>
      <c r="J993" s="23"/>
      <c r="K993" s="23"/>
      <c r="L993" s="23"/>
      <c r="M993" s="23"/>
      <c r="N993" s="23"/>
      <c r="O993" s="23"/>
      <c r="Q993" s="23"/>
      <c r="S993" s="23"/>
    </row>
    <row r="994">
      <c r="B994" s="23"/>
      <c r="C994" s="23"/>
      <c r="E994" s="24"/>
      <c r="G994" s="23"/>
      <c r="H994" s="23"/>
      <c r="I994" s="23"/>
      <c r="J994" s="23"/>
      <c r="K994" s="23"/>
      <c r="L994" s="23"/>
      <c r="M994" s="23"/>
      <c r="N994" s="23"/>
      <c r="O994" s="23"/>
      <c r="Q994" s="23"/>
      <c r="S994" s="23"/>
    </row>
    <row r="995">
      <c r="B995" s="23"/>
      <c r="C995" s="23"/>
      <c r="E995" s="24"/>
      <c r="G995" s="23"/>
      <c r="H995" s="23"/>
      <c r="I995" s="23"/>
      <c r="J995" s="23"/>
      <c r="K995" s="23"/>
      <c r="L995" s="23"/>
      <c r="M995" s="23"/>
      <c r="N995" s="23"/>
      <c r="O995" s="23"/>
      <c r="Q995" s="23"/>
      <c r="S995" s="23"/>
    </row>
    <row r="996">
      <c r="B996" s="23"/>
      <c r="C996" s="23"/>
      <c r="E996" s="24"/>
      <c r="G996" s="23"/>
      <c r="H996" s="23"/>
      <c r="I996" s="23"/>
      <c r="J996" s="23"/>
      <c r="K996" s="23"/>
      <c r="L996" s="23"/>
      <c r="M996" s="23"/>
      <c r="N996" s="23"/>
      <c r="O996" s="23"/>
      <c r="Q996" s="23"/>
      <c r="S996" s="23"/>
    </row>
    <row r="997">
      <c r="B997" s="23"/>
      <c r="C997" s="23"/>
      <c r="E997" s="24"/>
      <c r="G997" s="23"/>
      <c r="H997" s="23"/>
      <c r="I997" s="23"/>
      <c r="J997" s="23"/>
      <c r="K997" s="23"/>
      <c r="L997" s="23"/>
      <c r="M997" s="23"/>
      <c r="N997" s="23"/>
      <c r="O997" s="23"/>
      <c r="Q997" s="23"/>
      <c r="S997" s="23"/>
    </row>
    <row r="998">
      <c r="B998" s="23"/>
      <c r="C998" s="23"/>
      <c r="E998" s="24"/>
      <c r="G998" s="23"/>
      <c r="H998" s="23"/>
      <c r="I998" s="23"/>
      <c r="J998" s="23"/>
      <c r="K998" s="23"/>
      <c r="L998" s="23"/>
      <c r="M998" s="23"/>
      <c r="N998" s="23"/>
      <c r="O998" s="23"/>
      <c r="Q998" s="23"/>
      <c r="S998" s="23"/>
    </row>
    <row r="999">
      <c r="B999" s="23"/>
      <c r="C999" s="23"/>
      <c r="E999" s="24"/>
      <c r="G999" s="23"/>
      <c r="H999" s="23"/>
      <c r="I999" s="23"/>
      <c r="J999" s="23"/>
      <c r="K999" s="23"/>
      <c r="L999" s="23"/>
      <c r="M999" s="23"/>
      <c r="N999" s="23"/>
      <c r="O999" s="23"/>
      <c r="Q999" s="23"/>
      <c r="S999" s="23"/>
    </row>
    <row r="1000">
      <c r="B1000" s="23"/>
      <c r="C1000" s="23"/>
      <c r="E1000" s="24"/>
      <c r="G1000" s="23"/>
      <c r="H1000" s="23"/>
      <c r="I1000" s="23"/>
      <c r="J1000" s="23"/>
      <c r="K1000" s="23"/>
      <c r="L1000" s="23"/>
      <c r="M1000" s="23"/>
      <c r="N1000" s="23"/>
      <c r="O1000" s="23"/>
      <c r="Q1000" s="23"/>
      <c r="S1000" s="23"/>
    </row>
  </sheetData>
  <mergeCells count="6">
    <mergeCell ref="A1:G1"/>
    <mergeCell ref="H1:I1"/>
    <mergeCell ref="J1:K1"/>
    <mergeCell ref="L1:M1"/>
    <mergeCell ref="N1:O1"/>
    <mergeCell ref="S1:U1"/>
  </mergeCells>
  <conditionalFormatting sqref="P3:P152">
    <cfRule type="colorScale" priority="1">
      <colorScale>
        <cfvo type="min"/>
        <cfvo type="percentile" val="75"/>
        <cfvo type="max"/>
        <color rgb="FFE67C73"/>
        <color rgb="FFFFFFFF"/>
        <color rgb="FFD4EDBC"/>
      </colorScale>
    </cfRule>
  </conditionalFormatting>
  <dataValidations>
    <dataValidation type="list" allowBlank="1" showErrorMessage="1" sqref="Q153:Q1000">
      <formula1>"1,2,3,4,5"</formula1>
    </dataValidation>
    <dataValidation type="list" allowBlank="1" showErrorMessage="1" sqref="C3:C1000">
      <formula1>"zero-shot,few-shot,chain-of-thought"</formula1>
    </dataValidation>
    <dataValidation type="list" allowBlank="1" showErrorMessage="1" sqref="H3:O1000">
      <formula1>"0,0.5,1"</formula1>
    </dataValidation>
    <dataValidation type="list" allowBlank="1" showErrorMessage="1" sqref="B3:B1000">
      <formula1>"GPT-4,Claude Opus,Gemini"</formula1>
    </dataValidation>
    <dataValidation type="list" allowBlank="1" showErrorMessage="1" sqref="G2:G1000">
      <formula1>"Yes,No,Correct Diagnosis? (Y/N)"</formula1>
    </dataValidation>
    <dataValidation type="list" allowBlank="1" showErrorMessage="1" sqref="S10:S1000">
      <formula1>"Yes,No"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4" max="4" width="27.63"/>
    <col customWidth="1" min="5" max="5" width="27.75"/>
    <col customWidth="1" min="6" max="6" width="21.88"/>
    <col customWidth="1" min="7" max="7" width="19.25"/>
    <col customWidth="1" min="8" max="8" width="14.5"/>
    <col customWidth="1" min="9" max="9" width="13.63"/>
    <col customWidth="1" min="10" max="10" width="14.38"/>
    <col customWidth="1" min="11" max="11" width="13.63"/>
    <col customWidth="1" min="12" max="12" width="14.25"/>
    <col customWidth="1" min="13" max="13" width="13.63"/>
    <col customWidth="1" min="14" max="14" width="14.63"/>
    <col customWidth="1" min="15" max="15" width="13.63"/>
    <col customWidth="1" min="16" max="16" width="9.13"/>
    <col customWidth="1" min="21" max="21" width="18.88"/>
    <col customWidth="1" min="22" max="22" width="21.75"/>
    <col customWidth="1" min="24" max="24" width="22.75"/>
    <col customWidth="1" min="25" max="25" width="20.75"/>
    <col customWidth="1" min="26" max="26" width="21.63"/>
    <col customWidth="1" min="27" max="27" width="19.63"/>
    <col customWidth="1" min="28" max="28" width="21.5"/>
    <col customWidth="1" min="29" max="29" width="19.38"/>
  </cols>
  <sheetData>
    <row r="1" ht="28.5" customHeight="1">
      <c r="A1" s="1" t="s">
        <v>0</v>
      </c>
      <c r="B1" s="1"/>
      <c r="C1" s="1"/>
      <c r="D1" s="1"/>
      <c r="E1" s="1"/>
      <c r="F1" s="1"/>
      <c r="G1" s="1"/>
      <c r="H1" s="2" t="s">
        <v>1</v>
      </c>
      <c r="J1" s="2" t="s">
        <v>2</v>
      </c>
      <c r="L1" s="2" t="s">
        <v>3</v>
      </c>
      <c r="N1" s="2" t="s">
        <v>4</v>
      </c>
      <c r="P1" s="3" t="s">
        <v>66</v>
      </c>
      <c r="Q1" s="25" t="s">
        <v>337</v>
      </c>
    </row>
    <row r="2" ht="28.5" customHeight="1">
      <c r="A2" s="3" t="s">
        <v>6</v>
      </c>
      <c r="B2" s="3" t="s">
        <v>7</v>
      </c>
      <c r="C2" s="3" t="s">
        <v>8</v>
      </c>
      <c r="D2" s="3" t="s">
        <v>9</v>
      </c>
      <c r="E2" s="5" t="s">
        <v>10</v>
      </c>
      <c r="F2" s="3" t="s">
        <v>11</v>
      </c>
      <c r="G2" s="3" t="s">
        <v>12</v>
      </c>
      <c r="H2" s="3" t="s">
        <v>338</v>
      </c>
      <c r="I2" s="3" t="s">
        <v>339</v>
      </c>
      <c r="J2" s="3" t="s">
        <v>338</v>
      </c>
      <c r="K2" s="3" t="s">
        <v>339</v>
      </c>
      <c r="L2" s="3" t="s">
        <v>338</v>
      </c>
      <c r="M2" s="3" t="s">
        <v>339</v>
      </c>
      <c r="N2" s="3" t="s">
        <v>338</v>
      </c>
      <c r="O2" s="3" t="s">
        <v>339</v>
      </c>
      <c r="P2" s="6" t="s">
        <v>15</v>
      </c>
      <c r="Q2" s="26" t="s">
        <v>340</v>
      </c>
      <c r="R2" s="27" t="s">
        <v>341</v>
      </c>
      <c r="S2" s="27" t="s">
        <v>342</v>
      </c>
      <c r="U2" s="3" t="s">
        <v>19</v>
      </c>
      <c r="V2" s="3" t="s">
        <v>20</v>
      </c>
      <c r="X2" s="28" t="s">
        <v>21</v>
      </c>
      <c r="Y2" s="28" t="s">
        <v>22</v>
      </c>
      <c r="Z2" s="28" t="s">
        <v>23</v>
      </c>
      <c r="AA2" s="28" t="s">
        <v>24</v>
      </c>
      <c r="AB2" s="28" t="s">
        <v>25</v>
      </c>
      <c r="AC2" s="28" t="s">
        <v>26</v>
      </c>
      <c r="AD2" s="3"/>
    </row>
    <row r="3">
      <c r="A3" s="3" t="s">
        <v>27</v>
      </c>
      <c r="B3" s="3" t="s">
        <v>343</v>
      </c>
      <c r="C3" s="3" t="s">
        <v>29</v>
      </c>
      <c r="D3" s="29" t="s">
        <v>344</v>
      </c>
      <c r="E3" s="30" t="s">
        <v>345</v>
      </c>
      <c r="F3" s="30" t="s">
        <v>346</v>
      </c>
      <c r="G3" s="31" t="s">
        <v>33</v>
      </c>
      <c r="H3" s="13">
        <v>0.0</v>
      </c>
      <c r="I3" s="13">
        <v>1.0</v>
      </c>
      <c r="J3" s="13">
        <v>1.0</v>
      </c>
      <c r="K3" s="13">
        <v>1.0</v>
      </c>
      <c r="L3" s="13">
        <v>1.0</v>
      </c>
      <c r="M3" s="13">
        <v>1.0</v>
      </c>
      <c r="N3" s="13">
        <v>0.5</v>
      </c>
      <c r="O3" s="13">
        <v>1.0</v>
      </c>
      <c r="P3" s="15">
        <f t="shared" ref="P3:P152" si="5">1-((ABS(H3-I3))+(ABS(J3-K3))+(ABS(L3-M3))+(ABS(N3-O3)))/4</f>
        <v>0.625</v>
      </c>
      <c r="Q3" s="21">
        <f>AVERAGE(P3:P52)</f>
        <v>0.805</v>
      </c>
      <c r="R3" s="21">
        <f>AVERAGE(P53:P102)</f>
        <v>0.785</v>
      </c>
      <c r="S3" s="21">
        <f>AVERAGE(P103:P152)</f>
        <v>0.9875</v>
      </c>
      <c r="U3" s="23">
        <f t="shared" ref="U3:V3" si="1">(H3+J3+L3+N3)/4</f>
        <v>0.625</v>
      </c>
      <c r="V3" s="23">
        <f t="shared" si="1"/>
        <v>1</v>
      </c>
      <c r="X3" s="32">
        <f t="shared" ref="X3:Y3" si="2">AVERAGE(U3:U52)</f>
        <v>0.81</v>
      </c>
      <c r="Y3" s="32">
        <f t="shared" si="2"/>
        <v>0.98</v>
      </c>
      <c r="Z3" s="32">
        <f t="shared" ref="Z3:AA3" si="3">AVERAGE(U53:U102)</f>
        <v>0.7875</v>
      </c>
      <c r="AA3" s="32">
        <f t="shared" si="3"/>
        <v>0.9675</v>
      </c>
      <c r="AB3" s="32">
        <f t="shared" ref="AB3:AC3" si="4">AVERAGE(U103:U152)</f>
        <v>0.9725</v>
      </c>
      <c r="AC3" s="32">
        <f t="shared" si="4"/>
        <v>0.98</v>
      </c>
    </row>
    <row r="4">
      <c r="A4" s="3" t="s">
        <v>35</v>
      </c>
      <c r="B4" s="3" t="s">
        <v>343</v>
      </c>
      <c r="C4" s="3" t="s">
        <v>29</v>
      </c>
      <c r="D4" s="29" t="s">
        <v>347</v>
      </c>
      <c r="E4" s="30" t="s">
        <v>348</v>
      </c>
      <c r="F4" s="30" t="s">
        <v>349</v>
      </c>
      <c r="G4" s="31" t="s">
        <v>33</v>
      </c>
      <c r="H4" s="13">
        <v>1.0</v>
      </c>
      <c r="I4" s="13">
        <v>1.0</v>
      </c>
      <c r="J4" s="13">
        <v>1.0</v>
      </c>
      <c r="K4" s="13">
        <v>1.0</v>
      </c>
      <c r="L4" s="13">
        <v>1.0</v>
      </c>
      <c r="M4" s="13">
        <v>1.0</v>
      </c>
      <c r="N4" s="13">
        <v>1.0</v>
      </c>
      <c r="O4" s="13">
        <v>1.0</v>
      </c>
      <c r="P4" s="15">
        <f t="shared" si="5"/>
        <v>1</v>
      </c>
      <c r="U4" s="23">
        <f t="shared" ref="U4:V4" si="6">(H4+J4+L4+N4)/4</f>
        <v>1</v>
      </c>
      <c r="V4" s="23">
        <f t="shared" si="6"/>
        <v>1</v>
      </c>
    </row>
    <row r="5">
      <c r="A5" s="3" t="s">
        <v>41</v>
      </c>
      <c r="B5" s="3" t="s">
        <v>343</v>
      </c>
      <c r="C5" s="3" t="s">
        <v>29</v>
      </c>
      <c r="D5" s="29" t="s">
        <v>350</v>
      </c>
      <c r="E5" s="30" t="s">
        <v>351</v>
      </c>
      <c r="F5" s="30" t="s">
        <v>352</v>
      </c>
      <c r="G5" s="31" t="s">
        <v>33</v>
      </c>
      <c r="H5" s="13">
        <v>1.0</v>
      </c>
      <c r="I5" s="13">
        <v>1.0</v>
      </c>
      <c r="J5" s="13">
        <v>1.0</v>
      </c>
      <c r="K5" s="13">
        <v>1.0</v>
      </c>
      <c r="L5" s="13">
        <v>0.5</v>
      </c>
      <c r="M5" s="13">
        <v>1.0</v>
      </c>
      <c r="N5" s="13">
        <v>1.0</v>
      </c>
      <c r="O5" s="13">
        <v>1.0</v>
      </c>
      <c r="P5" s="15">
        <f t="shared" si="5"/>
        <v>0.875</v>
      </c>
      <c r="U5" s="23">
        <f t="shared" ref="U5:V5" si="7">(H5+J5+L5+N5)/4</f>
        <v>0.875</v>
      </c>
      <c r="V5" s="23">
        <f t="shared" si="7"/>
        <v>1</v>
      </c>
    </row>
    <row r="6">
      <c r="A6" s="3" t="s">
        <v>46</v>
      </c>
      <c r="B6" s="3" t="s">
        <v>343</v>
      </c>
      <c r="C6" s="3" t="s">
        <v>29</v>
      </c>
      <c r="D6" s="29" t="s">
        <v>353</v>
      </c>
      <c r="E6" s="30" t="s">
        <v>354</v>
      </c>
      <c r="F6" s="30" t="s">
        <v>355</v>
      </c>
      <c r="G6" s="31" t="s">
        <v>33</v>
      </c>
      <c r="H6" s="13">
        <v>1.0</v>
      </c>
      <c r="I6" s="13">
        <v>1.0</v>
      </c>
      <c r="J6" s="13">
        <v>1.0</v>
      </c>
      <c r="K6" s="13">
        <v>1.0</v>
      </c>
      <c r="L6" s="13">
        <v>1.0</v>
      </c>
      <c r="M6" s="13">
        <v>1.0</v>
      </c>
      <c r="N6" s="13">
        <v>0.5</v>
      </c>
      <c r="O6" s="13">
        <v>1.0</v>
      </c>
      <c r="P6" s="15">
        <f t="shared" si="5"/>
        <v>0.875</v>
      </c>
      <c r="U6" s="23">
        <f t="shared" ref="U6:V6" si="8">(H6+J6+L6+N6)/4</f>
        <v>0.875</v>
      </c>
      <c r="V6" s="23">
        <f t="shared" si="8"/>
        <v>1</v>
      </c>
    </row>
    <row r="7">
      <c r="A7" s="3" t="s">
        <v>50</v>
      </c>
      <c r="B7" s="3" t="s">
        <v>343</v>
      </c>
      <c r="C7" s="3" t="s">
        <v>29</v>
      </c>
      <c r="D7" s="29" t="s">
        <v>356</v>
      </c>
      <c r="E7" s="30" t="s">
        <v>357</v>
      </c>
      <c r="F7" s="30" t="s">
        <v>358</v>
      </c>
      <c r="G7" s="31" t="s">
        <v>33</v>
      </c>
      <c r="H7" s="13">
        <v>1.0</v>
      </c>
      <c r="I7" s="13">
        <v>1.0</v>
      </c>
      <c r="J7" s="13">
        <v>1.0</v>
      </c>
      <c r="K7" s="13">
        <v>1.0</v>
      </c>
      <c r="L7" s="13">
        <v>1.0</v>
      </c>
      <c r="M7" s="13">
        <v>1.0</v>
      </c>
      <c r="N7" s="13">
        <v>1.0</v>
      </c>
      <c r="O7" s="13">
        <v>1.0</v>
      </c>
      <c r="P7" s="15">
        <f t="shared" si="5"/>
        <v>1</v>
      </c>
      <c r="U7" s="23">
        <f t="shared" ref="U7:V7" si="9">(H7+J7+L7+N7)/4</f>
        <v>1</v>
      </c>
      <c r="V7" s="23">
        <f t="shared" si="9"/>
        <v>1</v>
      </c>
    </row>
    <row r="8">
      <c r="A8" s="3" t="s">
        <v>54</v>
      </c>
      <c r="B8" s="3" t="s">
        <v>343</v>
      </c>
      <c r="C8" s="3" t="s">
        <v>29</v>
      </c>
      <c r="D8" s="29" t="s">
        <v>359</v>
      </c>
      <c r="E8" s="30" t="s">
        <v>360</v>
      </c>
      <c r="F8" s="30" t="s">
        <v>361</v>
      </c>
      <c r="G8" s="31" t="s">
        <v>33</v>
      </c>
      <c r="H8" s="13">
        <v>1.0</v>
      </c>
      <c r="I8" s="13">
        <v>1.0</v>
      </c>
      <c r="J8" s="13">
        <v>1.0</v>
      </c>
      <c r="K8" s="13">
        <v>1.0</v>
      </c>
      <c r="L8" s="13">
        <v>0.0</v>
      </c>
      <c r="M8" s="13">
        <v>1.0</v>
      </c>
      <c r="N8" s="13">
        <v>0.5</v>
      </c>
      <c r="O8" s="13">
        <v>1.0</v>
      </c>
      <c r="P8" s="15">
        <f t="shared" si="5"/>
        <v>0.625</v>
      </c>
      <c r="U8" s="23">
        <f t="shared" ref="U8:V8" si="10">(H8+J8+L8+N8)/4</f>
        <v>0.625</v>
      </c>
      <c r="V8" s="23">
        <f t="shared" si="10"/>
        <v>1</v>
      </c>
    </row>
    <row r="9">
      <c r="A9" s="3" t="s">
        <v>58</v>
      </c>
      <c r="B9" s="3" t="s">
        <v>343</v>
      </c>
      <c r="C9" s="3" t="s">
        <v>29</v>
      </c>
      <c r="D9" s="29" t="s">
        <v>362</v>
      </c>
      <c r="E9" s="30" t="s">
        <v>363</v>
      </c>
      <c r="F9" s="30" t="s">
        <v>364</v>
      </c>
      <c r="G9" s="31" t="s">
        <v>33</v>
      </c>
      <c r="H9" s="13">
        <v>1.0</v>
      </c>
      <c r="I9" s="13">
        <v>1.0</v>
      </c>
      <c r="J9" s="13">
        <v>1.0</v>
      </c>
      <c r="K9" s="13">
        <v>1.0</v>
      </c>
      <c r="L9" s="13">
        <v>0.0</v>
      </c>
      <c r="M9" s="13">
        <v>1.0</v>
      </c>
      <c r="N9" s="13">
        <v>1.0</v>
      </c>
      <c r="O9" s="13">
        <v>1.0</v>
      </c>
      <c r="P9" s="15">
        <f t="shared" si="5"/>
        <v>0.75</v>
      </c>
      <c r="U9" s="23">
        <f t="shared" ref="U9:V9" si="11">(H9+J9+L9+N9)/4</f>
        <v>0.75</v>
      </c>
      <c r="V9" s="23">
        <f t="shared" si="11"/>
        <v>1</v>
      </c>
    </row>
    <row r="10">
      <c r="A10" s="3" t="s">
        <v>62</v>
      </c>
      <c r="B10" s="3" t="s">
        <v>343</v>
      </c>
      <c r="C10" s="3" t="s">
        <v>29</v>
      </c>
      <c r="D10" s="29" t="s">
        <v>365</v>
      </c>
      <c r="E10" s="30" t="s">
        <v>366</v>
      </c>
      <c r="F10" s="30" t="s">
        <v>367</v>
      </c>
      <c r="G10" s="31" t="s">
        <v>33</v>
      </c>
      <c r="H10" s="13">
        <v>0.5</v>
      </c>
      <c r="I10" s="13">
        <v>1.0</v>
      </c>
      <c r="J10" s="13">
        <v>1.0</v>
      </c>
      <c r="K10" s="13">
        <v>1.0</v>
      </c>
      <c r="L10" s="13">
        <v>0.5</v>
      </c>
      <c r="M10" s="13">
        <v>1.0</v>
      </c>
      <c r="N10" s="13">
        <v>0.5</v>
      </c>
      <c r="O10" s="13">
        <v>1.0</v>
      </c>
      <c r="P10" s="15">
        <f t="shared" si="5"/>
        <v>0.625</v>
      </c>
      <c r="U10" s="23">
        <f t="shared" ref="U10:V10" si="12">(H10+J10+L10+N10)/4</f>
        <v>0.625</v>
      </c>
      <c r="V10" s="23">
        <f t="shared" si="12"/>
        <v>1</v>
      </c>
    </row>
    <row r="11">
      <c r="A11" s="3" t="s">
        <v>67</v>
      </c>
      <c r="B11" s="3" t="s">
        <v>343</v>
      </c>
      <c r="C11" s="3" t="s">
        <v>29</v>
      </c>
      <c r="D11" s="29" t="s">
        <v>368</v>
      </c>
      <c r="E11" s="30" t="s">
        <v>369</v>
      </c>
      <c r="F11" s="30" t="s">
        <v>370</v>
      </c>
      <c r="G11" s="31" t="s">
        <v>33</v>
      </c>
      <c r="H11" s="13">
        <v>1.0</v>
      </c>
      <c r="I11" s="13">
        <v>1.0</v>
      </c>
      <c r="J11" s="13">
        <v>1.0</v>
      </c>
      <c r="K11" s="13">
        <v>1.0</v>
      </c>
      <c r="L11" s="13">
        <v>0.0</v>
      </c>
      <c r="M11" s="13">
        <v>1.0</v>
      </c>
      <c r="N11" s="13">
        <v>0.5</v>
      </c>
      <c r="O11" s="13">
        <v>1.0</v>
      </c>
      <c r="P11" s="15">
        <f t="shared" si="5"/>
        <v>0.625</v>
      </c>
      <c r="U11" s="23">
        <f t="shared" ref="U11:V11" si="13">(H11+J11+L11+N11)/4</f>
        <v>0.625</v>
      </c>
      <c r="V11" s="23">
        <f t="shared" si="13"/>
        <v>1</v>
      </c>
    </row>
    <row r="12">
      <c r="A12" s="3" t="s">
        <v>71</v>
      </c>
      <c r="B12" s="3" t="s">
        <v>343</v>
      </c>
      <c r="C12" s="3" t="s">
        <v>29</v>
      </c>
      <c r="D12" s="29" t="s">
        <v>371</v>
      </c>
      <c r="E12" s="30" t="s">
        <v>372</v>
      </c>
      <c r="F12" s="30" t="s">
        <v>373</v>
      </c>
      <c r="G12" s="31" t="s">
        <v>33</v>
      </c>
      <c r="H12" s="13">
        <v>1.0</v>
      </c>
      <c r="I12" s="13">
        <v>1.0</v>
      </c>
      <c r="J12" s="13">
        <v>1.0</v>
      </c>
      <c r="K12" s="13">
        <v>1.0</v>
      </c>
      <c r="L12" s="13">
        <v>1.0</v>
      </c>
      <c r="M12" s="13">
        <v>1.0</v>
      </c>
      <c r="N12" s="13">
        <v>1.0</v>
      </c>
      <c r="O12" s="13">
        <v>1.0</v>
      </c>
      <c r="P12" s="15">
        <f t="shared" si="5"/>
        <v>1</v>
      </c>
      <c r="U12" s="23">
        <f t="shared" ref="U12:V12" si="14">(H12+J12+L12+N12)/4</f>
        <v>1</v>
      </c>
      <c r="V12" s="23">
        <f t="shared" si="14"/>
        <v>1</v>
      </c>
    </row>
    <row r="13">
      <c r="A13" s="3" t="s">
        <v>75</v>
      </c>
      <c r="B13" s="3" t="s">
        <v>343</v>
      </c>
      <c r="C13" s="3" t="s">
        <v>29</v>
      </c>
      <c r="D13" s="29" t="s">
        <v>374</v>
      </c>
      <c r="E13" s="30" t="s">
        <v>375</v>
      </c>
      <c r="F13" s="30" t="s">
        <v>376</v>
      </c>
      <c r="G13" s="31" t="s">
        <v>33</v>
      </c>
      <c r="H13" s="13">
        <v>1.0</v>
      </c>
      <c r="I13" s="13">
        <v>1.0</v>
      </c>
      <c r="J13" s="13">
        <v>1.0</v>
      </c>
      <c r="K13" s="13">
        <v>1.0</v>
      </c>
      <c r="L13" s="13">
        <v>1.0</v>
      </c>
      <c r="M13" s="13">
        <v>1.0</v>
      </c>
      <c r="N13" s="13">
        <v>1.0</v>
      </c>
      <c r="O13" s="13">
        <v>1.0</v>
      </c>
      <c r="P13" s="15">
        <f t="shared" si="5"/>
        <v>1</v>
      </c>
      <c r="U13" s="23">
        <f t="shared" ref="U13:V13" si="15">(H13+J13+L13+N13)/4</f>
        <v>1</v>
      </c>
      <c r="V13" s="23">
        <f t="shared" si="15"/>
        <v>1</v>
      </c>
    </row>
    <row r="14">
      <c r="A14" s="3" t="s">
        <v>79</v>
      </c>
      <c r="B14" s="3" t="s">
        <v>343</v>
      </c>
      <c r="C14" s="3" t="s">
        <v>29</v>
      </c>
      <c r="D14" s="29" t="s">
        <v>377</v>
      </c>
      <c r="E14" s="30" t="s">
        <v>378</v>
      </c>
      <c r="F14" s="30" t="s">
        <v>379</v>
      </c>
      <c r="G14" s="31" t="s">
        <v>33</v>
      </c>
      <c r="H14" s="13">
        <v>1.0</v>
      </c>
      <c r="I14" s="13">
        <v>1.0</v>
      </c>
      <c r="J14" s="13">
        <v>1.0</v>
      </c>
      <c r="K14" s="13">
        <v>1.0</v>
      </c>
      <c r="L14" s="13">
        <v>0.0</v>
      </c>
      <c r="M14" s="13">
        <v>1.0</v>
      </c>
      <c r="N14" s="13">
        <v>0.5</v>
      </c>
      <c r="O14" s="13">
        <v>1.0</v>
      </c>
      <c r="P14" s="15">
        <f t="shared" si="5"/>
        <v>0.625</v>
      </c>
      <c r="U14" s="23">
        <f t="shared" ref="U14:V14" si="16">(H14+J14+L14+N14)/4</f>
        <v>0.625</v>
      </c>
      <c r="V14" s="23">
        <f t="shared" si="16"/>
        <v>1</v>
      </c>
    </row>
    <row r="15">
      <c r="A15" s="3" t="s">
        <v>83</v>
      </c>
      <c r="B15" s="3" t="s">
        <v>343</v>
      </c>
      <c r="C15" s="3" t="s">
        <v>29</v>
      </c>
      <c r="D15" s="29" t="s">
        <v>380</v>
      </c>
      <c r="E15" s="30" t="s">
        <v>381</v>
      </c>
      <c r="F15" s="30" t="s">
        <v>382</v>
      </c>
      <c r="G15" s="31" t="s">
        <v>33</v>
      </c>
      <c r="H15" s="13">
        <v>1.0</v>
      </c>
      <c r="I15" s="13">
        <v>1.0</v>
      </c>
      <c r="J15" s="13">
        <v>1.0</v>
      </c>
      <c r="K15" s="13">
        <v>1.0</v>
      </c>
      <c r="L15" s="13">
        <v>0.0</v>
      </c>
      <c r="M15" s="13">
        <v>1.0</v>
      </c>
      <c r="N15" s="13">
        <v>1.0</v>
      </c>
      <c r="O15" s="13">
        <v>1.0</v>
      </c>
      <c r="P15" s="15">
        <f t="shared" si="5"/>
        <v>0.75</v>
      </c>
      <c r="U15" s="23">
        <f t="shared" ref="U15:V15" si="17">(H15+J15+L15+N15)/4</f>
        <v>0.75</v>
      </c>
      <c r="V15" s="23">
        <f t="shared" si="17"/>
        <v>1</v>
      </c>
    </row>
    <row r="16">
      <c r="A16" s="3" t="s">
        <v>87</v>
      </c>
      <c r="B16" s="3" t="s">
        <v>343</v>
      </c>
      <c r="C16" s="3" t="s">
        <v>29</v>
      </c>
      <c r="D16" s="29" t="s">
        <v>383</v>
      </c>
      <c r="E16" s="30" t="s">
        <v>384</v>
      </c>
      <c r="F16" s="30" t="s">
        <v>385</v>
      </c>
      <c r="G16" s="31" t="s">
        <v>33</v>
      </c>
      <c r="H16" s="13">
        <v>0.5</v>
      </c>
      <c r="I16" s="13">
        <v>1.0</v>
      </c>
      <c r="J16" s="13">
        <v>1.0</v>
      </c>
      <c r="K16" s="13">
        <v>1.0</v>
      </c>
      <c r="L16" s="13">
        <v>0.0</v>
      </c>
      <c r="M16" s="13">
        <v>1.0</v>
      </c>
      <c r="N16" s="13">
        <v>0.5</v>
      </c>
      <c r="O16" s="13">
        <v>1.0</v>
      </c>
      <c r="P16" s="15">
        <f t="shared" si="5"/>
        <v>0.5</v>
      </c>
      <c r="U16" s="23">
        <f t="shared" ref="U16:V16" si="18">(H16+J16+L16+N16)/4</f>
        <v>0.5</v>
      </c>
      <c r="V16" s="23">
        <f t="shared" si="18"/>
        <v>1</v>
      </c>
    </row>
    <row r="17">
      <c r="A17" s="3" t="s">
        <v>91</v>
      </c>
      <c r="B17" s="3" t="s">
        <v>343</v>
      </c>
      <c r="C17" s="3" t="s">
        <v>29</v>
      </c>
      <c r="D17" s="29" t="s">
        <v>386</v>
      </c>
      <c r="E17" s="30" t="s">
        <v>387</v>
      </c>
      <c r="F17" s="30" t="s">
        <v>388</v>
      </c>
      <c r="G17" s="31" t="s">
        <v>33</v>
      </c>
      <c r="H17" s="13">
        <v>1.0</v>
      </c>
      <c r="I17" s="13">
        <v>1.0</v>
      </c>
      <c r="J17" s="13">
        <v>1.0</v>
      </c>
      <c r="K17" s="13">
        <v>1.0</v>
      </c>
      <c r="L17" s="13">
        <v>1.0</v>
      </c>
      <c r="M17" s="13">
        <v>1.0</v>
      </c>
      <c r="N17" s="13">
        <v>0.0</v>
      </c>
      <c r="O17" s="13">
        <v>1.0</v>
      </c>
      <c r="P17" s="15">
        <f t="shared" si="5"/>
        <v>0.75</v>
      </c>
      <c r="U17" s="23">
        <f t="shared" ref="U17:V17" si="19">(H17+J17+L17+N17)/4</f>
        <v>0.75</v>
      </c>
      <c r="V17" s="23">
        <f t="shared" si="19"/>
        <v>1</v>
      </c>
    </row>
    <row r="18">
      <c r="A18" s="3" t="s">
        <v>95</v>
      </c>
      <c r="B18" s="3" t="s">
        <v>343</v>
      </c>
      <c r="C18" s="3" t="s">
        <v>29</v>
      </c>
      <c r="D18" s="29" t="s">
        <v>389</v>
      </c>
      <c r="E18" s="30" t="s">
        <v>390</v>
      </c>
      <c r="F18" s="30" t="s">
        <v>391</v>
      </c>
      <c r="G18" s="31" t="s">
        <v>33</v>
      </c>
      <c r="H18" s="13">
        <v>0.0</v>
      </c>
      <c r="I18" s="13">
        <v>1.0</v>
      </c>
      <c r="J18" s="13">
        <v>1.0</v>
      </c>
      <c r="K18" s="13">
        <v>1.0</v>
      </c>
      <c r="L18" s="13">
        <v>0.5</v>
      </c>
      <c r="M18" s="13">
        <v>1.0</v>
      </c>
      <c r="N18" s="13">
        <v>0.5</v>
      </c>
      <c r="O18" s="13">
        <v>1.0</v>
      </c>
      <c r="P18" s="15">
        <f t="shared" si="5"/>
        <v>0.5</v>
      </c>
      <c r="U18" s="23">
        <f t="shared" ref="U18:V18" si="20">(H18+J18+L18+N18)/4</f>
        <v>0.5</v>
      </c>
      <c r="V18" s="23">
        <f t="shared" si="20"/>
        <v>1</v>
      </c>
    </row>
    <row r="19">
      <c r="A19" s="3" t="s">
        <v>99</v>
      </c>
      <c r="B19" s="3" t="s">
        <v>343</v>
      </c>
      <c r="C19" s="3" t="s">
        <v>29</v>
      </c>
      <c r="D19" s="29" t="s">
        <v>392</v>
      </c>
      <c r="E19" s="30" t="s">
        <v>393</v>
      </c>
      <c r="F19" s="30" t="s">
        <v>394</v>
      </c>
      <c r="G19" s="31" t="s">
        <v>33</v>
      </c>
      <c r="H19" s="13">
        <v>1.0</v>
      </c>
      <c r="I19" s="13">
        <v>1.0</v>
      </c>
      <c r="J19" s="13">
        <v>1.0</v>
      </c>
      <c r="K19" s="13">
        <v>1.0</v>
      </c>
      <c r="L19" s="13">
        <v>0.0</v>
      </c>
      <c r="M19" s="13">
        <v>1.0</v>
      </c>
      <c r="N19" s="13">
        <v>1.0</v>
      </c>
      <c r="O19" s="13">
        <v>1.0</v>
      </c>
      <c r="P19" s="15">
        <f t="shared" si="5"/>
        <v>0.75</v>
      </c>
      <c r="U19" s="23">
        <f t="shared" ref="U19:V19" si="21">(H19+J19+L19+N19)/4</f>
        <v>0.75</v>
      </c>
      <c r="V19" s="23">
        <f t="shared" si="21"/>
        <v>1</v>
      </c>
    </row>
    <row r="20">
      <c r="A20" s="3" t="s">
        <v>103</v>
      </c>
      <c r="B20" s="3" t="s">
        <v>343</v>
      </c>
      <c r="C20" s="3" t="s">
        <v>29</v>
      </c>
      <c r="D20" s="29" t="s">
        <v>395</v>
      </c>
      <c r="E20" s="30" t="s">
        <v>396</v>
      </c>
      <c r="F20" s="30" t="s">
        <v>397</v>
      </c>
      <c r="G20" s="31" t="s">
        <v>33</v>
      </c>
      <c r="H20" s="13">
        <v>0.5</v>
      </c>
      <c r="I20" s="13">
        <v>1.0</v>
      </c>
      <c r="J20" s="13">
        <v>1.0</v>
      </c>
      <c r="K20" s="13">
        <v>1.0</v>
      </c>
      <c r="L20" s="13">
        <v>0.0</v>
      </c>
      <c r="M20" s="13">
        <v>1.0</v>
      </c>
      <c r="N20" s="13">
        <v>1.0</v>
      </c>
      <c r="O20" s="13">
        <v>1.0</v>
      </c>
      <c r="P20" s="15">
        <f t="shared" si="5"/>
        <v>0.625</v>
      </c>
      <c r="U20" s="23">
        <f t="shared" ref="U20:V20" si="22">(H20+J20+L20+N20)/4</f>
        <v>0.625</v>
      </c>
      <c r="V20" s="23">
        <f t="shared" si="22"/>
        <v>1</v>
      </c>
    </row>
    <row r="21">
      <c r="A21" s="3" t="s">
        <v>107</v>
      </c>
      <c r="B21" s="3" t="s">
        <v>343</v>
      </c>
      <c r="C21" s="3" t="s">
        <v>29</v>
      </c>
      <c r="D21" s="29" t="s">
        <v>398</v>
      </c>
      <c r="E21" s="30" t="s">
        <v>399</v>
      </c>
      <c r="F21" s="30" t="s">
        <v>400</v>
      </c>
      <c r="G21" s="31" t="s">
        <v>33</v>
      </c>
      <c r="H21" s="13">
        <v>1.0</v>
      </c>
      <c r="I21" s="13">
        <v>1.0</v>
      </c>
      <c r="J21" s="13">
        <v>1.0</v>
      </c>
      <c r="K21" s="13">
        <v>1.0</v>
      </c>
      <c r="L21" s="13">
        <v>1.0</v>
      </c>
      <c r="M21" s="13">
        <v>1.0</v>
      </c>
      <c r="N21" s="13">
        <v>1.0</v>
      </c>
      <c r="O21" s="13">
        <v>1.0</v>
      </c>
      <c r="P21" s="15">
        <f t="shared" si="5"/>
        <v>1</v>
      </c>
      <c r="U21" s="23">
        <f t="shared" ref="U21:V21" si="23">(H21+J21+L21+N21)/4</f>
        <v>1</v>
      </c>
      <c r="V21" s="23">
        <f t="shared" si="23"/>
        <v>1</v>
      </c>
    </row>
    <row r="22">
      <c r="A22" s="3" t="s">
        <v>111</v>
      </c>
      <c r="B22" s="3" t="s">
        <v>343</v>
      </c>
      <c r="C22" s="3" t="s">
        <v>29</v>
      </c>
      <c r="D22" s="29" t="s">
        <v>401</v>
      </c>
      <c r="E22" s="30" t="s">
        <v>402</v>
      </c>
      <c r="F22" s="30" t="s">
        <v>403</v>
      </c>
      <c r="G22" s="31" t="s">
        <v>39</v>
      </c>
      <c r="H22" s="13">
        <v>1.0</v>
      </c>
      <c r="I22" s="13">
        <v>0.5</v>
      </c>
      <c r="J22" s="13">
        <v>1.0</v>
      </c>
      <c r="K22" s="13">
        <v>1.0</v>
      </c>
      <c r="L22" s="13">
        <v>0.5</v>
      </c>
      <c r="M22" s="13">
        <v>0.0</v>
      </c>
      <c r="N22" s="13">
        <v>1.0</v>
      </c>
      <c r="O22" s="13">
        <v>0.5</v>
      </c>
      <c r="P22" s="15">
        <f t="shared" si="5"/>
        <v>0.625</v>
      </c>
      <c r="U22" s="23">
        <f t="shared" ref="U22:V22" si="24">(H22+J22+L22+N22)/4</f>
        <v>0.875</v>
      </c>
      <c r="V22" s="23">
        <f t="shared" si="24"/>
        <v>0.5</v>
      </c>
    </row>
    <row r="23">
      <c r="A23" s="3" t="s">
        <v>115</v>
      </c>
      <c r="B23" s="3" t="s">
        <v>343</v>
      </c>
      <c r="C23" s="3" t="s">
        <v>29</v>
      </c>
      <c r="D23" s="29" t="s">
        <v>404</v>
      </c>
      <c r="E23" s="30" t="s">
        <v>405</v>
      </c>
      <c r="F23" s="30" t="s">
        <v>406</v>
      </c>
      <c r="G23" s="31" t="s">
        <v>33</v>
      </c>
      <c r="H23" s="13">
        <v>1.0</v>
      </c>
      <c r="I23" s="13">
        <v>1.0</v>
      </c>
      <c r="J23" s="13">
        <v>1.0</v>
      </c>
      <c r="K23" s="13">
        <v>1.0</v>
      </c>
      <c r="L23" s="13">
        <v>1.0</v>
      </c>
      <c r="M23" s="13">
        <v>1.0</v>
      </c>
      <c r="N23" s="13">
        <v>1.0</v>
      </c>
      <c r="O23" s="13">
        <v>1.0</v>
      </c>
      <c r="P23" s="15">
        <f t="shared" si="5"/>
        <v>1</v>
      </c>
      <c r="U23" s="23">
        <f t="shared" ref="U23:V23" si="25">(H23+J23+L23+N23)/4</f>
        <v>1</v>
      </c>
      <c r="V23" s="23">
        <f t="shared" si="25"/>
        <v>1</v>
      </c>
    </row>
    <row r="24">
      <c r="A24" s="3" t="s">
        <v>119</v>
      </c>
      <c r="B24" s="3" t="s">
        <v>343</v>
      </c>
      <c r="C24" s="3" t="s">
        <v>29</v>
      </c>
      <c r="D24" s="29" t="s">
        <v>407</v>
      </c>
      <c r="E24" s="30" t="s">
        <v>408</v>
      </c>
      <c r="F24" s="30" t="s">
        <v>409</v>
      </c>
      <c r="G24" s="31" t="s">
        <v>33</v>
      </c>
      <c r="H24" s="13">
        <v>1.0</v>
      </c>
      <c r="I24" s="13">
        <v>1.0</v>
      </c>
      <c r="J24" s="13">
        <v>1.0</v>
      </c>
      <c r="K24" s="13">
        <v>1.0</v>
      </c>
      <c r="L24" s="13">
        <v>0.0</v>
      </c>
      <c r="M24" s="13">
        <v>1.0</v>
      </c>
      <c r="N24" s="13">
        <v>0.5</v>
      </c>
      <c r="O24" s="13">
        <v>1.0</v>
      </c>
      <c r="P24" s="15">
        <f t="shared" si="5"/>
        <v>0.625</v>
      </c>
      <c r="U24" s="23">
        <f t="shared" ref="U24:V24" si="26">(H24+J24+L24+N24)/4</f>
        <v>0.625</v>
      </c>
      <c r="V24" s="23">
        <f t="shared" si="26"/>
        <v>1</v>
      </c>
    </row>
    <row r="25">
      <c r="A25" s="3" t="s">
        <v>123</v>
      </c>
      <c r="B25" s="3" t="s">
        <v>343</v>
      </c>
      <c r="C25" s="3" t="s">
        <v>29</v>
      </c>
      <c r="D25" s="29" t="s">
        <v>410</v>
      </c>
      <c r="E25" s="30" t="s">
        <v>411</v>
      </c>
      <c r="F25" s="30" t="s">
        <v>412</v>
      </c>
      <c r="G25" s="31" t="s">
        <v>33</v>
      </c>
      <c r="H25" s="13">
        <v>1.0</v>
      </c>
      <c r="I25" s="13">
        <v>1.0</v>
      </c>
      <c r="J25" s="13">
        <v>1.0</v>
      </c>
      <c r="K25" s="13">
        <v>1.0</v>
      </c>
      <c r="L25" s="13">
        <v>1.0</v>
      </c>
      <c r="M25" s="13">
        <v>1.0</v>
      </c>
      <c r="N25" s="13">
        <v>1.0</v>
      </c>
      <c r="O25" s="13">
        <v>1.0</v>
      </c>
      <c r="P25" s="15">
        <f t="shared" si="5"/>
        <v>1</v>
      </c>
      <c r="U25" s="23">
        <f t="shared" ref="U25:V25" si="27">(H25+J25+L25+N25)/4</f>
        <v>1</v>
      </c>
      <c r="V25" s="23">
        <f t="shared" si="27"/>
        <v>1</v>
      </c>
    </row>
    <row r="26">
      <c r="A26" s="3" t="s">
        <v>127</v>
      </c>
      <c r="B26" s="3" t="s">
        <v>343</v>
      </c>
      <c r="C26" s="3" t="s">
        <v>29</v>
      </c>
      <c r="D26" s="29" t="s">
        <v>413</v>
      </c>
      <c r="E26" s="30" t="s">
        <v>414</v>
      </c>
      <c r="F26" s="30" t="s">
        <v>415</v>
      </c>
      <c r="G26" s="31" t="s">
        <v>33</v>
      </c>
      <c r="H26" s="13">
        <v>1.0</v>
      </c>
      <c r="I26" s="13">
        <v>1.0</v>
      </c>
      <c r="J26" s="13">
        <v>1.0</v>
      </c>
      <c r="K26" s="13">
        <v>1.0</v>
      </c>
      <c r="L26" s="13">
        <v>1.0</v>
      </c>
      <c r="M26" s="13">
        <v>1.0</v>
      </c>
      <c r="N26" s="13">
        <v>1.0</v>
      </c>
      <c r="O26" s="13">
        <v>1.0</v>
      </c>
      <c r="P26" s="15">
        <f t="shared" si="5"/>
        <v>1</v>
      </c>
      <c r="U26" s="23">
        <f t="shared" ref="U26:V26" si="28">(H26+J26+L26+N26)/4</f>
        <v>1</v>
      </c>
      <c r="V26" s="23">
        <f t="shared" si="28"/>
        <v>1</v>
      </c>
    </row>
    <row r="27">
      <c r="A27" s="3" t="s">
        <v>131</v>
      </c>
      <c r="B27" s="3" t="s">
        <v>343</v>
      </c>
      <c r="C27" s="3" t="s">
        <v>29</v>
      </c>
      <c r="D27" s="29" t="s">
        <v>416</v>
      </c>
      <c r="E27" s="30" t="s">
        <v>417</v>
      </c>
      <c r="F27" s="30" t="s">
        <v>418</v>
      </c>
      <c r="G27" s="31" t="s">
        <v>33</v>
      </c>
      <c r="H27" s="13">
        <v>1.0</v>
      </c>
      <c r="I27" s="13">
        <v>1.0</v>
      </c>
      <c r="J27" s="13">
        <v>1.0</v>
      </c>
      <c r="K27" s="13">
        <v>1.0</v>
      </c>
      <c r="L27" s="13">
        <v>0.5</v>
      </c>
      <c r="M27" s="13">
        <v>1.0</v>
      </c>
      <c r="N27" s="13">
        <v>1.0</v>
      </c>
      <c r="O27" s="13">
        <v>1.0</v>
      </c>
      <c r="P27" s="15">
        <f t="shared" si="5"/>
        <v>0.875</v>
      </c>
      <c r="U27" s="23">
        <f t="shared" ref="U27:V27" si="29">(H27+J27+L27+N27)/4</f>
        <v>0.875</v>
      </c>
      <c r="V27" s="23">
        <f t="shared" si="29"/>
        <v>1</v>
      </c>
    </row>
    <row r="28">
      <c r="A28" s="3" t="s">
        <v>135</v>
      </c>
      <c r="B28" s="3" t="s">
        <v>343</v>
      </c>
      <c r="C28" s="3" t="s">
        <v>29</v>
      </c>
      <c r="D28" s="29" t="s">
        <v>419</v>
      </c>
      <c r="E28" s="30" t="s">
        <v>420</v>
      </c>
      <c r="F28" s="30" t="s">
        <v>421</v>
      </c>
      <c r="G28" s="31" t="s">
        <v>33</v>
      </c>
      <c r="H28" s="13">
        <v>1.0</v>
      </c>
      <c r="I28" s="13">
        <v>1.0</v>
      </c>
      <c r="J28" s="13">
        <v>1.0</v>
      </c>
      <c r="K28" s="13">
        <v>1.0</v>
      </c>
      <c r="L28" s="13">
        <v>1.0</v>
      </c>
      <c r="M28" s="13">
        <v>1.0</v>
      </c>
      <c r="N28" s="13">
        <v>1.0</v>
      </c>
      <c r="O28" s="13">
        <v>1.0</v>
      </c>
      <c r="P28" s="15">
        <f t="shared" si="5"/>
        <v>1</v>
      </c>
      <c r="U28" s="23">
        <f t="shared" ref="U28:V28" si="30">(H28+J28+L28+N28)/4</f>
        <v>1</v>
      </c>
      <c r="V28" s="23">
        <f t="shared" si="30"/>
        <v>1</v>
      </c>
    </row>
    <row r="29">
      <c r="A29" s="3" t="s">
        <v>139</v>
      </c>
      <c r="B29" s="3" t="s">
        <v>343</v>
      </c>
      <c r="C29" s="3" t="s">
        <v>29</v>
      </c>
      <c r="D29" s="29" t="s">
        <v>422</v>
      </c>
      <c r="E29" s="30" t="s">
        <v>423</v>
      </c>
      <c r="F29" s="30" t="s">
        <v>424</v>
      </c>
      <c r="G29" s="31" t="s">
        <v>39</v>
      </c>
      <c r="H29" s="13">
        <v>1.0</v>
      </c>
      <c r="I29" s="13">
        <v>0.5</v>
      </c>
      <c r="J29" s="13">
        <v>1.0</v>
      </c>
      <c r="K29" s="13">
        <v>1.0</v>
      </c>
      <c r="L29" s="13">
        <v>0.0</v>
      </c>
      <c r="M29" s="13">
        <v>0.0</v>
      </c>
      <c r="N29" s="13">
        <v>1.0</v>
      </c>
      <c r="O29" s="13">
        <v>0.5</v>
      </c>
      <c r="P29" s="15">
        <f t="shared" si="5"/>
        <v>0.75</v>
      </c>
      <c r="U29" s="23">
        <f t="shared" ref="U29:V29" si="31">(H29+J29+L29+N29)/4</f>
        <v>0.75</v>
      </c>
      <c r="V29" s="23">
        <f t="shared" si="31"/>
        <v>0.5</v>
      </c>
    </row>
    <row r="30">
      <c r="A30" s="3" t="s">
        <v>143</v>
      </c>
      <c r="B30" s="3" t="s">
        <v>343</v>
      </c>
      <c r="C30" s="3" t="s">
        <v>29</v>
      </c>
      <c r="D30" s="29" t="s">
        <v>425</v>
      </c>
      <c r="E30" s="30" t="s">
        <v>426</v>
      </c>
      <c r="F30" s="30" t="s">
        <v>427</v>
      </c>
      <c r="G30" s="31" t="s">
        <v>33</v>
      </c>
      <c r="H30" s="13">
        <v>1.0</v>
      </c>
      <c r="I30" s="13">
        <v>1.0</v>
      </c>
      <c r="J30" s="13">
        <v>1.0</v>
      </c>
      <c r="K30" s="13">
        <v>1.0</v>
      </c>
      <c r="L30" s="13">
        <v>0.0</v>
      </c>
      <c r="M30" s="13">
        <v>1.0</v>
      </c>
      <c r="N30" s="13">
        <v>1.0</v>
      </c>
      <c r="O30" s="13">
        <v>1.0</v>
      </c>
      <c r="P30" s="15">
        <f t="shared" si="5"/>
        <v>0.75</v>
      </c>
      <c r="U30" s="23">
        <f t="shared" ref="U30:V30" si="32">(H30+J30+L30+N30)/4</f>
        <v>0.75</v>
      </c>
      <c r="V30" s="23">
        <f t="shared" si="32"/>
        <v>1</v>
      </c>
    </row>
    <row r="31">
      <c r="A31" s="3" t="s">
        <v>147</v>
      </c>
      <c r="B31" s="3" t="s">
        <v>343</v>
      </c>
      <c r="C31" s="3" t="s">
        <v>29</v>
      </c>
      <c r="D31" s="29" t="s">
        <v>428</v>
      </c>
      <c r="E31" s="30" t="s">
        <v>429</v>
      </c>
      <c r="F31" s="30" t="s">
        <v>430</v>
      </c>
      <c r="G31" s="31" t="s">
        <v>33</v>
      </c>
      <c r="H31" s="13">
        <v>1.0</v>
      </c>
      <c r="I31" s="13">
        <v>1.0</v>
      </c>
      <c r="J31" s="13">
        <v>1.0</v>
      </c>
      <c r="K31" s="13">
        <v>1.0</v>
      </c>
      <c r="L31" s="13">
        <v>0.0</v>
      </c>
      <c r="M31" s="13">
        <v>1.0</v>
      </c>
      <c r="N31" s="13">
        <v>0.5</v>
      </c>
      <c r="O31" s="13">
        <v>1.0</v>
      </c>
      <c r="P31" s="15">
        <f t="shared" si="5"/>
        <v>0.625</v>
      </c>
      <c r="U31" s="23">
        <f t="shared" ref="U31:V31" si="33">(H31+J31+L31+N31)/4</f>
        <v>0.625</v>
      </c>
      <c r="V31" s="23">
        <f t="shared" si="33"/>
        <v>1</v>
      </c>
    </row>
    <row r="32">
      <c r="A32" s="3" t="s">
        <v>151</v>
      </c>
      <c r="B32" s="3" t="s">
        <v>343</v>
      </c>
      <c r="C32" s="3" t="s">
        <v>29</v>
      </c>
      <c r="D32" s="29" t="s">
        <v>431</v>
      </c>
      <c r="E32" s="30" t="s">
        <v>432</v>
      </c>
      <c r="F32" s="30" t="s">
        <v>433</v>
      </c>
      <c r="G32" s="31" t="s">
        <v>33</v>
      </c>
      <c r="H32" s="13">
        <v>1.0</v>
      </c>
      <c r="I32" s="13">
        <v>1.0</v>
      </c>
      <c r="J32" s="13">
        <v>1.0</v>
      </c>
      <c r="K32" s="13">
        <v>1.0</v>
      </c>
      <c r="L32" s="13">
        <v>0.0</v>
      </c>
      <c r="M32" s="13">
        <v>1.0</v>
      </c>
      <c r="N32" s="13">
        <v>1.0</v>
      </c>
      <c r="O32" s="13">
        <v>1.0</v>
      </c>
      <c r="P32" s="15">
        <f t="shared" si="5"/>
        <v>0.75</v>
      </c>
      <c r="U32" s="23">
        <f t="shared" ref="U32:V32" si="34">(H32+J32+L32+N32)/4</f>
        <v>0.75</v>
      </c>
      <c r="V32" s="23">
        <f t="shared" si="34"/>
        <v>1</v>
      </c>
    </row>
    <row r="33">
      <c r="A33" s="3" t="s">
        <v>155</v>
      </c>
      <c r="B33" s="3" t="s">
        <v>343</v>
      </c>
      <c r="C33" s="3" t="s">
        <v>29</v>
      </c>
      <c r="D33" s="29" t="s">
        <v>434</v>
      </c>
      <c r="E33" s="30" t="s">
        <v>435</v>
      </c>
      <c r="F33" s="30" t="s">
        <v>436</v>
      </c>
      <c r="G33" s="31" t="s">
        <v>33</v>
      </c>
      <c r="H33" s="13">
        <v>1.0</v>
      </c>
      <c r="I33" s="13">
        <v>1.0</v>
      </c>
      <c r="J33" s="13">
        <v>1.0</v>
      </c>
      <c r="K33" s="13">
        <v>1.0</v>
      </c>
      <c r="L33" s="13">
        <v>0.0</v>
      </c>
      <c r="M33" s="13">
        <v>1.0</v>
      </c>
      <c r="N33" s="13">
        <v>1.0</v>
      </c>
      <c r="O33" s="13">
        <v>1.0</v>
      </c>
      <c r="P33" s="15">
        <f t="shared" si="5"/>
        <v>0.75</v>
      </c>
      <c r="U33" s="23">
        <f t="shared" ref="U33:V33" si="35">(H33+J33+L33+N33)/4</f>
        <v>0.75</v>
      </c>
      <c r="V33" s="23">
        <f t="shared" si="35"/>
        <v>1</v>
      </c>
    </row>
    <row r="34">
      <c r="A34" s="3" t="s">
        <v>159</v>
      </c>
      <c r="B34" s="3" t="s">
        <v>343</v>
      </c>
      <c r="C34" s="3" t="s">
        <v>29</v>
      </c>
      <c r="D34" s="29" t="s">
        <v>437</v>
      </c>
      <c r="E34" s="30" t="s">
        <v>438</v>
      </c>
      <c r="F34" s="30" t="s">
        <v>439</v>
      </c>
      <c r="G34" s="31" t="s">
        <v>33</v>
      </c>
      <c r="H34" s="13">
        <v>1.0</v>
      </c>
      <c r="I34" s="13">
        <v>1.0</v>
      </c>
      <c r="J34" s="13">
        <v>1.0</v>
      </c>
      <c r="K34" s="13">
        <v>1.0</v>
      </c>
      <c r="L34" s="13">
        <v>0.0</v>
      </c>
      <c r="M34" s="13">
        <v>1.0</v>
      </c>
      <c r="N34" s="13">
        <v>1.0</v>
      </c>
      <c r="O34" s="13">
        <v>1.0</v>
      </c>
      <c r="P34" s="15">
        <f t="shared" si="5"/>
        <v>0.75</v>
      </c>
      <c r="U34" s="23">
        <f t="shared" ref="U34:V34" si="36">(H34+J34+L34+N34)/4</f>
        <v>0.75</v>
      </c>
      <c r="V34" s="23">
        <f t="shared" si="36"/>
        <v>1</v>
      </c>
    </row>
    <row r="35">
      <c r="A35" s="3" t="s">
        <v>163</v>
      </c>
      <c r="B35" s="3" t="s">
        <v>343</v>
      </c>
      <c r="C35" s="3" t="s">
        <v>29</v>
      </c>
      <c r="D35" s="29" t="s">
        <v>440</v>
      </c>
      <c r="E35" s="30" t="s">
        <v>441</v>
      </c>
      <c r="F35" s="30" t="s">
        <v>442</v>
      </c>
      <c r="G35" s="31" t="s">
        <v>33</v>
      </c>
      <c r="H35" s="13">
        <v>1.0</v>
      </c>
      <c r="I35" s="13">
        <v>1.0</v>
      </c>
      <c r="J35" s="13">
        <v>1.0</v>
      </c>
      <c r="K35" s="13">
        <v>1.0</v>
      </c>
      <c r="L35" s="13">
        <v>0.0</v>
      </c>
      <c r="M35" s="13">
        <v>1.0</v>
      </c>
      <c r="N35" s="13">
        <v>0.5</v>
      </c>
      <c r="O35" s="13">
        <v>1.0</v>
      </c>
      <c r="P35" s="15">
        <f t="shared" si="5"/>
        <v>0.625</v>
      </c>
      <c r="U35" s="23">
        <f t="shared" ref="U35:V35" si="37">(H35+J35+L35+N35)/4</f>
        <v>0.625</v>
      </c>
      <c r="V35" s="23">
        <f t="shared" si="37"/>
        <v>1</v>
      </c>
    </row>
    <row r="36">
      <c r="A36" s="3" t="s">
        <v>167</v>
      </c>
      <c r="B36" s="3" t="s">
        <v>343</v>
      </c>
      <c r="C36" s="3" t="s">
        <v>29</v>
      </c>
      <c r="D36" s="29" t="s">
        <v>443</v>
      </c>
      <c r="E36" s="30" t="s">
        <v>444</v>
      </c>
      <c r="F36" s="30" t="s">
        <v>445</v>
      </c>
      <c r="G36" s="31" t="s">
        <v>33</v>
      </c>
      <c r="H36" s="13">
        <v>0.5</v>
      </c>
      <c r="I36" s="13">
        <v>1.0</v>
      </c>
      <c r="J36" s="13">
        <v>1.0</v>
      </c>
      <c r="K36" s="13">
        <v>1.0</v>
      </c>
      <c r="L36" s="13">
        <v>0.5</v>
      </c>
      <c r="M36" s="13">
        <v>1.0</v>
      </c>
      <c r="N36" s="13">
        <v>0.5</v>
      </c>
      <c r="O36" s="13">
        <v>1.0</v>
      </c>
      <c r="P36" s="15">
        <f t="shared" si="5"/>
        <v>0.625</v>
      </c>
      <c r="U36" s="23">
        <f t="shared" ref="U36:V36" si="38">(H36+J36+L36+N36)/4</f>
        <v>0.625</v>
      </c>
      <c r="V36" s="23">
        <f t="shared" si="38"/>
        <v>1</v>
      </c>
    </row>
    <row r="37">
      <c r="A37" s="3" t="s">
        <v>171</v>
      </c>
      <c r="B37" s="3" t="s">
        <v>343</v>
      </c>
      <c r="C37" s="3" t="s">
        <v>29</v>
      </c>
      <c r="D37" s="29" t="s">
        <v>446</v>
      </c>
      <c r="E37" s="30" t="s">
        <v>447</v>
      </c>
      <c r="F37" s="30" t="s">
        <v>448</v>
      </c>
      <c r="G37" s="31" t="s">
        <v>33</v>
      </c>
      <c r="H37" s="13">
        <v>1.0</v>
      </c>
      <c r="I37" s="13">
        <v>1.0</v>
      </c>
      <c r="J37" s="13">
        <v>1.0</v>
      </c>
      <c r="K37" s="13">
        <v>1.0</v>
      </c>
      <c r="L37" s="13">
        <v>0.0</v>
      </c>
      <c r="M37" s="13">
        <v>1.0</v>
      </c>
      <c r="N37" s="13">
        <v>1.0</v>
      </c>
      <c r="O37" s="13">
        <v>1.0</v>
      </c>
      <c r="P37" s="15">
        <f t="shared" si="5"/>
        <v>0.75</v>
      </c>
      <c r="U37" s="23">
        <f t="shared" ref="U37:V37" si="39">(H37+J37+L37+N37)/4</f>
        <v>0.75</v>
      </c>
      <c r="V37" s="23">
        <f t="shared" si="39"/>
        <v>1</v>
      </c>
    </row>
    <row r="38">
      <c r="A38" s="3" t="s">
        <v>175</v>
      </c>
      <c r="B38" s="3" t="s">
        <v>343</v>
      </c>
      <c r="C38" s="3" t="s">
        <v>29</v>
      </c>
      <c r="D38" s="29" t="s">
        <v>449</v>
      </c>
      <c r="E38" s="30" t="s">
        <v>450</v>
      </c>
      <c r="F38" s="30" t="s">
        <v>451</v>
      </c>
      <c r="G38" s="31" t="s">
        <v>33</v>
      </c>
      <c r="H38" s="13">
        <v>1.0</v>
      </c>
      <c r="I38" s="13">
        <v>1.0</v>
      </c>
      <c r="J38" s="13">
        <v>1.0</v>
      </c>
      <c r="K38" s="13">
        <v>1.0</v>
      </c>
      <c r="L38" s="13">
        <v>1.0</v>
      </c>
      <c r="M38" s="13">
        <v>1.0</v>
      </c>
      <c r="N38" s="13">
        <v>1.0</v>
      </c>
      <c r="O38" s="13">
        <v>1.0</v>
      </c>
      <c r="P38" s="15">
        <f t="shared" si="5"/>
        <v>1</v>
      </c>
      <c r="U38" s="23">
        <f t="shared" ref="U38:V38" si="40">(H38+J38+L38+N38)/4</f>
        <v>1</v>
      </c>
      <c r="V38" s="23">
        <f t="shared" si="40"/>
        <v>1</v>
      </c>
    </row>
    <row r="39">
      <c r="A39" s="3" t="s">
        <v>179</v>
      </c>
      <c r="B39" s="3" t="s">
        <v>343</v>
      </c>
      <c r="C39" s="3" t="s">
        <v>29</v>
      </c>
      <c r="D39" s="29" t="s">
        <v>452</v>
      </c>
      <c r="E39" s="30" t="s">
        <v>453</v>
      </c>
      <c r="F39" s="30" t="s">
        <v>454</v>
      </c>
      <c r="G39" s="31" t="s">
        <v>33</v>
      </c>
      <c r="H39" s="13">
        <v>1.0</v>
      </c>
      <c r="I39" s="13">
        <v>1.0</v>
      </c>
      <c r="J39" s="13">
        <v>0.5</v>
      </c>
      <c r="K39" s="13">
        <v>1.0</v>
      </c>
      <c r="L39" s="13">
        <v>0.0</v>
      </c>
      <c r="M39" s="13">
        <v>1.0</v>
      </c>
      <c r="N39" s="13">
        <v>1.0</v>
      </c>
      <c r="O39" s="13">
        <v>1.0</v>
      </c>
      <c r="P39" s="15">
        <f t="shared" si="5"/>
        <v>0.625</v>
      </c>
      <c r="U39" s="23">
        <f t="shared" ref="U39:V39" si="41">(H39+J39+L39+N39)/4</f>
        <v>0.625</v>
      </c>
      <c r="V39" s="23">
        <f t="shared" si="41"/>
        <v>1</v>
      </c>
    </row>
    <row r="40">
      <c r="A40" s="3" t="s">
        <v>183</v>
      </c>
      <c r="B40" s="3" t="s">
        <v>343</v>
      </c>
      <c r="C40" s="3" t="s">
        <v>29</v>
      </c>
      <c r="D40" s="29" t="s">
        <v>455</v>
      </c>
      <c r="E40" s="30" t="s">
        <v>456</v>
      </c>
      <c r="F40" s="30" t="s">
        <v>457</v>
      </c>
      <c r="G40" s="31" t="s">
        <v>33</v>
      </c>
      <c r="H40" s="13">
        <v>1.0</v>
      </c>
      <c r="I40" s="13">
        <v>1.0</v>
      </c>
      <c r="J40" s="13">
        <v>1.0</v>
      </c>
      <c r="K40" s="13">
        <v>1.0</v>
      </c>
      <c r="L40" s="13">
        <v>0.0</v>
      </c>
      <c r="M40" s="13">
        <v>1.0</v>
      </c>
      <c r="N40" s="13">
        <v>1.0</v>
      </c>
      <c r="O40" s="13">
        <v>1.0</v>
      </c>
      <c r="P40" s="15">
        <f t="shared" si="5"/>
        <v>0.75</v>
      </c>
      <c r="U40" s="23">
        <f t="shared" ref="U40:V40" si="42">(H40+J40+L40+N40)/4</f>
        <v>0.75</v>
      </c>
      <c r="V40" s="23">
        <f t="shared" si="42"/>
        <v>1</v>
      </c>
    </row>
    <row r="41">
      <c r="A41" s="3" t="s">
        <v>187</v>
      </c>
      <c r="B41" s="3" t="s">
        <v>343</v>
      </c>
      <c r="C41" s="3" t="s">
        <v>29</v>
      </c>
      <c r="D41" s="29" t="s">
        <v>458</v>
      </c>
      <c r="E41" s="30" t="s">
        <v>459</v>
      </c>
      <c r="F41" s="30" t="s">
        <v>460</v>
      </c>
      <c r="G41" s="31" t="s">
        <v>33</v>
      </c>
      <c r="H41" s="13">
        <v>1.0</v>
      </c>
      <c r="I41" s="13">
        <v>1.0</v>
      </c>
      <c r="J41" s="13">
        <v>1.0</v>
      </c>
      <c r="K41" s="13">
        <v>1.0</v>
      </c>
      <c r="L41" s="13">
        <v>1.0</v>
      </c>
      <c r="M41" s="13">
        <v>1.0</v>
      </c>
      <c r="N41" s="13">
        <v>1.0</v>
      </c>
      <c r="O41" s="13">
        <v>1.0</v>
      </c>
      <c r="P41" s="15">
        <f t="shared" si="5"/>
        <v>1</v>
      </c>
      <c r="U41" s="23">
        <f t="shared" ref="U41:V41" si="43">(H41+J41+L41+N41)/4</f>
        <v>1</v>
      </c>
      <c r="V41" s="23">
        <f t="shared" si="43"/>
        <v>1</v>
      </c>
    </row>
    <row r="42">
      <c r="A42" s="3" t="s">
        <v>191</v>
      </c>
      <c r="B42" s="3" t="s">
        <v>343</v>
      </c>
      <c r="C42" s="3" t="s">
        <v>29</v>
      </c>
      <c r="D42" s="29" t="s">
        <v>461</v>
      </c>
      <c r="E42" s="30" t="s">
        <v>462</v>
      </c>
      <c r="F42" s="30" t="s">
        <v>463</v>
      </c>
      <c r="G42" s="31" t="s">
        <v>33</v>
      </c>
      <c r="H42" s="13">
        <v>1.0</v>
      </c>
      <c r="I42" s="13">
        <v>1.0</v>
      </c>
      <c r="J42" s="13">
        <v>1.0</v>
      </c>
      <c r="K42" s="13">
        <v>1.0</v>
      </c>
      <c r="L42" s="13">
        <v>1.0</v>
      </c>
      <c r="M42" s="13">
        <v>1.0</v>
      </c>
      <c r="N42" s="13">
        <v>1.0</v>
      </c>
      <c r="O42" s="13">
        <v>1.0</v>
      </c>
      <c r="P42" s="15">
        <f t="shared" si="5"/>
        <v>1</v>
      </c>
      <c r="U42" s="23">
        <f t="shared" ref="U42:V42" si="44">(H42+J42+L42+N42)/4</f>
        <v>1</v>
      </c>
      <c r="V42" s="23">
        <f t="shared" si="44"/>
        <v>1</v>
      </c>
    </row>
    <row r="43">
      <c r="A43" s="3" t="s">
        <v>195</v>
      </c>
      <c r="B43" s="3" t="s">
        <v>343</v>
      </c>
      <c r="C43" s="3" t="s">
        <v>29</v>
      </c>
      <c r="D43" s="29" t="s">
        <v>464</v>
      </c>
      <c r="E43" s="30" t="s">
        <v>465</v>
      </c>
      <c r="F43" s="30" t="s">
        <v>466</v>
      </c>
      <c r="G43" s="31" t="s">
        <v>33</v>
      </c>
      <c r="H43" s="13">
        <v>1.0</v>
      </c>
      <c r="I43" s="13">
        <v>1.0</v>
      </c>
      <c r="J43" s="13">
        <v>1.0</v>
      </c>
      <c r="K43" s="13">
        <v>1.0</v>
      </c>
      <c r="L43" s="13">
        <v>1.0</v>
      </c>
      <c r="M43" s="13">
        <v>1.0</v>
      </c>
      <c r="N43" s="13">
        <v>1.0</v>
      </c>
      <c r="O43" s="13">
        <v>1.0</v>
      </c>
      <c r="P43" s="15">
        <f t="shared" si="5"/>
        <v>1</v>
      </c>
      <c r="U43" s="23">
        <f t="shared" ref="U43:V43" si="45">(H43+J43+L43+N43)/4</f>
        <v>1</v>
      </c>
      <c r="V43" s="23">
        <f t="shared" si="45"/>
        <v>1</v>
      </c>
    </row>
    <row r="44">
      <c r="A44" s="3" t="s">
        <v>199</v>
      </c>
      <c r="B44" s="3" t="s">
        <v>343</v>
      </c>
      <c r="C44" s="3" t="s">
        <v>29</v>
      </c>
      <c r="D44" s="29" t="s">
        <v>467</v>
      </c>
      <c r="E44" s="30" t="s">
        <v>468</v>
      </c>
      <c r="F44" s="30" t="s">
        <v>469</v>
      </c>
      <c r="G44" s="31" t="s">
        <v>33</v>
      </c>
      <c r="H44" s="13">
        <v>1.0</v>
      </c>
      <c r="I44" s="13">
        <v>1.0</v>
      </c>
      <c r="J44" s="13">
        <v>1.0</v>
      </c>
      <c r="K44" s="13">
        <v>1.0</v>
      </c>
      <c r="L44" s="13">
        <v>1.0</v>
      </c>
      <c r="M44" s="13">
        <v>1.0</v>
      </c>
      <c r="N44" s="13">
        <v>1.0</v>
      </c>
      <c r="O44" s="13">
        <v>1.0</v>
      </c>
      <c r="P44" s="15">
        <f t="shared" si="5"/>
        <v>1</v>
      </c>
      <c r="U44" s="23">
        <f t="shared" ref="U44:V44" si="46">(H44+J44+L44+N44)/4</f>
        <v>1</v>
      </c>
      <c r="V44" s="23">
        <f t="shared" si="46"/>
        <v>1</v>
      </c>
    </row>
    <row r="45">
      <c r="A45" s="3" t="s">
        <v>203</v>
      </c>
      <c r="B45" s="3" t="s">
        <v>343</v>
      </c>
      <c r="C45" s="3" t="s">
        <v>29</v>
      </c>
      <c r="D45" s="29" t="s">
        <v>470</v>
      </c>
      <c r="E45" s="30" t="s">
        <v>471</v>
      </c>
      <c r="F45" s="30" t="s">
        <v>472</v>
      </c>
      <c r="G45" s="31" t="s">
        <v>33</v>
      </c>
      <c r="H45" s="13">
        <v>1.0</v>
      </c>
      <c r="I45" s="13">
        <v>1.0</v>
      </c>
      <c r="J45" s="13">
        <v>1.0</v>
      </c>
      <c r="K45" s="13">
        <v>1.0</v>
      </c>
      <c r="L45" s="13">
        <v>0.0</v>
      </c>
      <c r="M45" s="13">
        <v>1.0</v>
      </c>
      <c r="N45" s="13">
        <v>1.0</v>
      </c>
      <c r="O45" s="13">
        <v>1.0</v>
      </c>
      <c r="P45" s="15">
        <f t="shared" si="5"/>
        <v>0.75</v>
      </c>
      <c r="U45" s="23">
        <f t="shared" ref="U45:V45" si="47">(H45+J45+L45+N45)/4</f>
        <v>0.75</v>
      </c>
      <c r="V45" s="23">
        <f t="shared" si="47"/>
        <v>1</v>
      </c>
    </row>
    <row r="46">
      <c r="A46" s="3" t="s">
        <v>207</v>
      </c>
      <c r="B46" s="3" t="s">
        <v>343</v>
      </c>
      <c r="C46" s="3" t="s">
        <v>29</v>
      </c>
      <c r="D46" s="29" t="s">
        <v>473</v>
      </c>
      <c r="E46" s="30" t="s">
        <v>474</v>
      </c>
      <c r="F46" s="30" t="s">
        <v>475</v>
      </c>
      <c r="G46" s="31" t="s">
        <v>33</v>
      </c>
      <c r="H46" s="13">
        <v>1.0</v>
      </c>
      <c r="I46" s="13">
        <v>1.0</v>
      </c>
      <c r="J46" s="13">
        <v>1.0</v>
      </c>
      <c r="K46" s="13">
        <v>1.0</v>
      </c>
      <c r="L46" s="13">
        <v>1.0</v>
      </c>
      <c r="M46" s="13">
        <v>1.0</v>
      </c>
      <c r="N46" s="13">
        <v>1.0</v>
      </c>
      <c r="O46" s="13">
        <v>1.0</v>
      </c>
      <c r="P46" s="15">
        <f t="shared" si="5"/>
        <v>1</v>
      </c>
      <c r="U46" s="23">
        <f t="shared" ref="U46:V46" si="48">(H46+J46+L46+N46)/4</f>
        <v>1</v>
      </c>
      <c r="V46" s="23">
        <f t="shared" si="48"/>
        <v>1</v>
      </c>
    </row>
    <row r="47">
      <c r="A47" s="3" t="s">
        <v>211</v>
      </c>
      <c r="B47" s="3" t="s">
        <v>343</v>
      </c>
      <c r="C47" s="3" t="s">
        <v>29</v>
      </c>
      <c r="D47" s="29" t="s">
        <v>476</v>
      </c>
      <c r="E47" s="30" t="s">
        <v>477</v>
      </c>
      <c r="F47" s="30" t="s">
        <v>478</v>
      </c>
      <c r="G47" s="31" t="s">
        <v>33</v>
      </c>
      <c r="H47" s="13">
        <v>1.0</v>
      </c>
      <c r="I47" s="13">
        <v>1.0</v>
      </c>
      <c r="J47" s="13">
        <v>1.0</v>
      </c>
      <c r="K47" s="13">
        <v>1.0</v>
      </c>
      <c r="L47" s="13">
        <v>1.0</v>
      </c>
      <c r="M47" s="13">
        <v>1.0</v>
      </c>
      <c r="N47" s="13">
        <v>1.0</v>
      </c>
      <c r="O47" s="13">
        <v>1.0</v>
      </c>
      <c r="P47" s="15">
        <f t="shared" si="5"/>
        <v>1</v>
      </c>
      <c r="U47" s="23">
        <f t="shared" ref="U47:V47" si="49">(H47+J47+L47+N47)/4</f>
        <v>1</v>
      </c>
      <c r="V47" s="23">
        <f t="shared" si="49"/>
        <v>1</v>
      </c>
    </row>
    <row r="48">
      <c r="A48" s="3" t="s">
        <v>215</v>
      </c>
      <c r="B48" s="3" t="s">
        <v>343</v>
      </c>
      <c r="C48" s="3" t="s">
        <v>29</v>
      </c>
      <c r="D48" s="29" t="s">
        <v>479</v>
      </c>
      <c r="E48" s="30" t="s">
        <v>480</v>
      </c>
      <c r="F48" s="30" t="s">
        <v>481</v>
      </c>
      <c r="G48" s="31" t="s">
        <v>33</v>
      </c>
      <c r="H48" s="13">
        <v>1.0</v>
      </c>
      <c r="I48" s="13">
        <v>1.0</v>
      </c>
      <c r="J48" s="13">
        <v>1.0</v>
      </c>
      <c r="K48" s="13">
        <v>1.0</v>
      </c>
      <c r="L48" s="13">
        <v>1.0</v>
      </c>
      <c r="M48" s="13">
        <v>1.0</v>
      </c>
      <c r="N48" s="13">
        <v>0.5</v>
      </c>
      <c r="O48" s="13">
        <v>1.0</v>
      </c>
      <c r="P48" s="15">
        <f t="shared" si="5"/>
        <v>0.875</v>
      </c>
      <c r="U48" s="23">
        <f t="shared" ref="U48:V48" si="50">(H48+J48+L48+N48)/4</f>
        <v>0.875</v>
      </c>
      <c r="V48" s="23">
        <f t="shared" si="50"/>
        <v>1</v>
      </c>
    </row>
    <row r="49">
      <c r="A49" s="3" t="s">
        <v>219</v>
      </c>
      <c r="B49" s="3" t="s">
        <v>343</v>
      </c>
      <c r="C49" s="3" t="s">
        <v>29</v>
      </c>
      <c r="D49" s="29" t="s">
        <v>482</v>
      </c>
      <c r="E49" s="30" t="s">
        <v>483</v>
      </c>
      <c r="F49" s="30" t="s">
        <v>484</v>
      </c>
      <c r="G49" s="31" t="s">
        <v>33</v>
      </c>
      <c r="H49" s="13">
        <v>1.0</v>
      </c>
      <c r="I49" s="13">
        <v>1.0</v>
      </c>
      <c r="J49" s="13">
        <v>1.0</v>
      </c>
      <c r="K49" s="13">
        <v>1.0</v>
      </c>
      <c r="L49" s="13">
        <v>1.0</v>
      </c>
      <c r="M49" s="13">
        <v>1.0</v>
      </c>
      <c r="N49" s="13">
        <v>1.0</v>
      </c>
      <c r="O49" s="13">
        <v>1.0</v>
      </c>
      <c r="P49" s="15">
        <f t="shared" si="5"/>
        <v>1</v>
      </c>
      <c r="U49" s="23">
        <f t="shared" ref="U49:V49" si="51">(H49+J49+L49+N49)/4</f>
        <v>1</v>
      </c>
      <c r="V49" s="23">
        <f t="shared" si="51"/>
        <v>1</v>
      </c>
    </row>
    <row r="50">
      <c r="A50" s="3" t="s">
        <v>223</v>
      </c>
      <c r="B50" s="3" t="s">
        <v>343</v>
      </c>
      <c r="C50" s="3" t="s">
        <v>29</v>
      </c>
      <c r="D50" s="29" t="s">
        <v>485</v>
      </c>
      <c r="E50" s="30" t="s">
        <v>486</v>
      </c>
      <c r="F50" s="30" t="s">
        <v>487</v>
      </c>
      <c r="G50" s="31" t="s">
        <v>33</v>
      </c>
      <c r="H50" s="13">
        <v>1.0</v>
      </c>
      <c r="I50" s="13">
        <v>1.0</v>
      </c>
      <c r="J50" s="13">
        <v>1.0</v>
      </c>
      <c r="K50" s="13">
        <v>1.0</v>
      </c>
      <c r="L50" s="13">
        <v>1.0</v>
      </c>
      <c r="M50" s="13">
        <v>1.0</v>
      </c>
      <c r="N50" s="13">
        <v>1.0</v>
      </c>
      <c r="O50" s="13">
        <v>1.0</v>
      </c>
      <c r="P50" s="15">
        <f t="shared" si="5"/>
        <v>1</v>
      </c>
      <c r="U50" s="23">
        <f t="shared" ref="U50:V50" si="52">(H50+J50+L50+N50)/4</f>
        <v>1</v>
      </c>
      <c r="V50" s="23">
        <f t="shared" si="52"/>
        <v>1</v>
      </c>
    </row>
    <row r="51">
      <c r="A51" s="3" t="s">
        <v>227</v>
      </c>
      <c r="B51" s="3" t="s">
        <v>343</v>
      </c>
      <c r="C51" s="3" t="s">
        <v>29</v>
      </c>
      <c r="D51" s="29" t="s">
        <v>488</v>
      </c>
      <c r="E51" s="30" t="s">
        <v>489</v>
      </c>
      <c r="F51" s="30" t="s">
        <v>490</v>
      </c>
      <c r="G51" s="31" t="s">
        <v>33</v>
      </c>
      <c r="H51" s="13">
        <v>1.0</v>
      </c>
      <c r="I51" s="13">
        <v>1.0</v>
      </c>
      <c r="J51" s="13">
        <v>1.0</v>
      </c>
      <c r="K51" s="13">
        <v>1.0</v>
      </c>
      <c r="L51" s="13">
        <v>0.0</v>
      </c>
      <c r="M51" s="13">
        <v>1.0</v>
      </c>
      <c r="N51" s="13">
        <v>1.0</v>
      </c>
      <c r="O51" s="13">
        <v>1.0</v>
      </c>
      <c r="P51" s="15">
        <f t="shared" si="5"/>
        <v>0.75</v>
      </c>
      <c r="U51" s="23">
        <f t="shared" ref="U51:V51" si="53">(H51+J51+L51+N51)/4</f>
        <v>0.75</v>
      </c>
      <c r="V51" s="23">
        <f t="shared" si="53"/>
        <v>1</v>
      </c>
    </row>
    <row r="52">
      <c r="A52" s="3" t="s">
        <v>231</v>
      </c>
      <c r="B52" s="3" t="s">
        <v>343</v>
      </c>
      <c r="C52" s="3" t="s">
        <v>29</v>
      </c>
      <c r="D52" s="29" t="s">
        <v>491</v>
      </c>
      <c r="E52" s="30" t="s">
        <v>492</v>
      </c>
      <c r="F52" s="30" t="s">
        <v>493</v>
      </c>
      <c r="G52" s="31" t="s">
        <v>33</v>
      </c>
      <c r="H52" s="13">
        <v>1.0</v>
      </c>
      <c r="I52" s="13">
        <v>1.0</v>
      </c>
      <c r="J52" s="13">
        <v>1.0</v>
      </c>
      <c r="K52" s="13">
        <v>1.0</v>
      </c>
      <c r="L52" s="13">
        <v>0.0</v>
      </c>
      <c r="M52" s="13">
        <v>1.0</v>
      </c>
      <c r="N52" s="13">
        <v>0.0</v>
      </c>
      <c r="O52" s="13">
        <v>1.0</v>
      </c>
      <c r="P52" s="15">
        <f t="shared" si="5"/>
        <v>0.5</v>
      </c>
      <c r="U52" s="23">
        <f t="shared" ref="U52:V52" si="54">(H52+J52+L52+N52)/4</f>
        <v>0.5</v>
      </c>
      <c r="V52" s="23">
        <f t="shared" si="54"/>
        <v>1</v>
      </c>
    </row>
    <row r="53">
      <c r="A53" s="3" t="s">
        <v>27</v>
      </c>
      <c r="B53" s="3" t="s">
        <v>343</v>
      </c>
      <c r="C53" s="3" t="s">
        <v>235</v>
      </c>
      <c r="D53" s="29" t="s">
        <v>344</v>
      </c>
      <c r="E53" s="30" t="s">
        <v>494</v>
      </c>
      <c r="F53" s="30" t="s">
        <v>346</v>
      </c>
      <c r="G53" s="31" t="s">
        <v>33</v>
      </c>
      <c r="H53" s="13">
        <v>1.0</v>
      </c>
      <c r="I53" s="13">
        <v>1.0</v>
      </c>
      <c r="J53" s="13">
        <v>1.0</v>
      </c>
      <c r="K53" s="13">
        <v>1.0</v>
      </c>
      <c r="L53" s="13">
        <v>0.0</v>
      </c>
      <c r="M53" s="13">
        <v>1.0</v>
      </c>
      <c r="N53" s="13">
        <v>1.0</v>
      </c>
      <c r="O53" s="13">
        <v>1.0</v>
      </c>
      <c r="P53" s="15">
        <f t="shared" si="5"/>
        <v>0.75</v>
      </c>
      <c r="U53" s="23">
        <f t="shared" ref="U53:V53" si="55">(H53+J53+L53+N53)/4</f>
        <v>0.75</v>
      </c>
      <c r="V53" s="23">
        <f t="shared" si="55"/>
        <v>1</v>
      </c>
    </row>
    <row r="54">
      <c r="A54" s="3" t="s">
        <v>35</v>
      </c>
      <c r="B54" s="3" t="s">
        <v>343</v>
      </c>
      <c r="C54" s="3" t="s">
        <v>235</v>
      </c>
      <c r="D54" s="29" t="s">
        <v>347</v>
      </c>
      <c r="E54" s="30" t="s">
        <v>495</v>
      </c>
      <c r="F54" s="30" t="s">
        <v>349</v>
      </c>
      <c r="G54" s="31" t="s">
        <v>33</v>
      </c>
      <c r="H54" s="13">
        <v>1.0</v>
      </c>
      <c r="I54" s="13">
        <v>1.0</v>
      </c>
      <c r="J54" s="13">
        <v>1.0</v>
      </c>
      <c r="K54" s="13">
        <v>1.0</v>
      </c>
      <c r="L54" s="13">
        <v>0.0</v>
      </c>
      <c r="M54" s="13">
        <v>1.0</v>
      </c>
      <c r="N54" s="13">
        <v>1.0</v>
      </c>
      <c r="O54" s="13">
        <v>1.0</v>
      </c>
      <c r="P54" s="15">
        <f t="shared" si="5"/>
        <v>0.75</v>
      </c>
      <c r="U54" s="23">
        <f t="shared" ref="U54:V54" si="56">(H54+J54+L54+N54)/4</f>
        <v>0.75</v>
      </c>
      <c r="V54" s="23">
        <f t="shared" si="56"/>
        <v>1</v>
      </c>
    </row>
    <row r="55">
      <c r="A55" s="3" t="s">
        <v>41</v>
      </c>
      <c r="B55" s="3" t="s">
        <v>343</v>
      </c>
      <c r="C55" s="3" t="s">
        <v>235</v>
      </c>
      <c r="D55" s="29" t="s">
        <v>350</v>
      </c>
      <c r="E55" s="30" t="s">
        <v>496</v>
      </c>
      <c r="F55" s="30" t="s">
        <v>352</v>
      </c>
      <c r="G55" s="31" t="s">
        <v>33</v>
      </c>
      <c r="H55" s="13">
        <v>1.0</v>
      </c>
      <c r="I55" s="13">
        <v>1.0</v>
      </c>
      <c r="J55" s="13">
        <v>1.0</v>
      </c>
      <c r="K55" s="13">
        <v>1.0</v>
      </c>
      <c r="L55" s="13">
        <v>0.0</v>
      </c>
      <c r="M55" s="13">
        <v>0.0</v>
      </c>
      <c r="N55" s="13">
        <v>1.0</v>
      </c>
      <c r="O55" s="13">
        <v>0.5</v>
      </c>
      <c r="P55" s="15">
        <f t="shared" si="5"/>
        <v>0.875</v>
      </c>
      <c r="U55" s="23">
        <f t="shared" ref="U55:V55" si="57">(H55+J55+L55+N55)/4</f>
        <v>0.75</v>
      </c>
      <c r="V55" s="23">
        <f t="shared" si="57"/>
        <v>0.625</v>
      </c>
    </row>
    <row r="56">
      <c r="A56" s="3" t="s">
        <v>46</v>
      </c>
      <c r="B56" s="3" t="s">
        <v>343</v>
      </c>
      <c r="C56" s="3" t="s">
        <v>235</v>
      </c>
      <c r="D56" s="29" t="s">
        <v>353</v>
      </c>
      <c r="E56" s="30" t="s">
        <v>497</v>
      </c>
      <c r="F56" s="30" t="s">
        <v>355</v>
      </c>
      <c r="G56" s="31" t="s">
        <v>33</v>
      </c>
      <c r="H56" s="13">
        <v>1.0</v>
      </c>
      <c r="I56" s="13">
        <v>1.0</v>
      </c>
      <c r="J56" s="13">
        <v>1.0</v>
      </c>
      <c r="K56" s="13">
        <v>1.0</v>
      </c>
      <c r="L56" s="13">
        <v>0.0</v>
      </c>
      <c r="M56" s="13">
        <v>1.0</v>
      </c>
      <c r="N56" s="13">
        <v>0.0</v>
      </c>
      <c r="O56" s="13">
        <v>1.0</v>
      </c>
      <c r="P56" s="15">
        <f t="shared" si="5"/>
        <v>0.5</v>
      </c>
      <c r="U56" s="23">
        <f t="shared" ref="U56:V56" si="58">(H56+J56+L56+N56)/4</f>
        <v>0.5</v>
      </c>
      <c r="V56" s="23">
        <f t="shared" si="58"/>
        <v>1</v>
      </c>
    </row>
    <row r="57">
      <c r="A57" s="3" t="s">
        <v>50</v>
      </c>
      <c r="B57" s="3" t="s">
        <v>343</v>
      </c>
      <c r="C57" s="3" t="s">
        <v>235</v>
      </c>
      <c r="D57" s="29" t="s">
        <v>356</v>
      </c>
      <c r="E57" s="30" t="s">
        <v>498</v>
      </c>
      <c r="F57" s="30" t="s">
        <v>358</v>
      </c>
      <c r="G57" s="31" t="s">
        <v>33</v>
      </c>
      <c r="H57" s="13">
        <v>1.0</v>
      </c>
      <c r="I57" s="13">
        <v>1.0</v>
      </c>
      <c r="J57" s="13">
        <v>1.0</v>
      </c>
      <c r="K57" s="13">
        <v>1.0</v>
      </c>
      <c r="L57" s="13">
        <v>0.0</v>
      </c>
      <c r="M57" s="13">
        <v>1.0</v>
      </c>
      <c r="N57" s="13">
        <v>1.0</v>
      </c>
      <c r="O57" s="13">
        <v>1.0</v>
      </c>
      <c r="P57" s="15">
        <f t="shared" si="5"/>
        <v>0.75</v>
      </c>
      <c r="U57" s="23">
        <f t="shared" ref="U57:V57" si="59">(H57+J57+L57+N57)/4</f>
        <v>0.75</v>
      </c>
      <c r="V57" s="23">
        <f t="shared" si="59"/>
        <v>1</v>
      </c>
    </row>
    <row r="58">
      <c r="A58" s="3" t="s">
        <v>54</v>
      </c>
      <c r="B58" s="3" t="s">
        <v>343</v>
      </c>
      <c r="C58" s="3" t="s">
        <v>235</v>
      </c>
      <c r="D58" s="29" t="s">
        <v>359</v>
      </c>
      <c r="E58" s="30" t="s">
        <v>499</v>
      </c>
      <c r="F58" s="30" t="s">
        <v>361</v>
      </c>
      <c r="G58" s="31" t="s">
        <v>33</v>
      </c>
      <c r="H58" s="13">
        <v>1.0</v>
      </c>
      <c r="I58" s="13">
        <v>1.0</v>
      </c>
      <c r="J58" s="13">
        <v>1.0</v>
      </c>
      <c r="K58" s="13">
        <v>1.0</v>
      </c>
      <c r="L58" s="13">
        <v>0.0</v>
      </c>
      <c r="M58" s="13">
        <v>1.0</v>
      </c>
      <c r="N58" s="13">
        <v>0.5</v>
      </c>
      <c r="O58" s="13">
        <v>1.0</v>
      </c>
      <c r="P58" s="15">
        <f t="shared" si="5"/>
        <v>0.625</v>
      </c>
      <c r="U58" s="23">
        <f t="shared" ref="U58:V58" si="60">(H58+J58+L58+N58)/4</f>
        <v>0.625</v>
      </c>
      <c r="V58" s="23">
        <f t="shared" si="60"/>
        <v>1</v>
      </c>
    </row>
    <row r="59">
      <c r="A59" s="3" t="s">
        <v>58</v>
      </c>
      <c r="B59" s="3" t="s">
        <v>343</v>
      </c>
      <c r="C59" s="3" t="s">
        <v>235</v>
      </c>
      <c r="D59" s="29" t="s">
        <v>362</v>
      </c>
      <c r="E59" s="30" t="s">
        <v>500</v>
      </c>
      <c r="F59" s="30" t="s">
        <v>364</v>
      </c>
      <c r="G59" s="31" t="s">
        <v>33</v>
      </c>
      <c r="H59" s="13">
        <v>1.0</v>
      </c>
      <c r="I59" s="13">
        <v>1.0</v>
      </c>
      <c r="J59" s="13">
        <v>1.0</v>
      </c>
      <c r="K59" s="13">
        <v>1.0</v>
      </c>
      <c r="L59" s="13">
        <v>0.0</v>
      </c>
      <c r="M59" s="13">
        <v>1.0</v>
      </c>
      <c r="N59" s="13">
        <v>1.0</v>
      </c>
      <c r="O59" s="13">
        <v>1.0</v>
      </c>
      <c r="P59" s="15">
        <f t="shared" si="5"/>
        <v>0.75</v>
      </c>
      <c r="U59" s="23">
        <f t="shared" ref="U59:V59" si="61">(H59+J59+L59+N59)/4</f>
        <v>0.75</v>
      </c>
      <c r="V59" s="23">
        <f t="shared" si="61"/>
        <v>1</v>
      </c>
    </row>
    <row r="60">
      <c r="A60" s="3" t="s">
        <v>62</v>
      </c>
      <c r="B60" s="3" t="s">
        <v>343</v>
      </c>
      <c r="C60" s="3" t="s">
        <v>235</v>
      </c>
      <c r="D60" s="29" t="s">
        <v>365</v>
      </c>
      <c r="E60" s="30" t="s">
        <v>501</v>
      </c>
      <c r="F60" s="30" t="s">
        <v>367</v>
      </c>
      <c r="G60" s="31" t="s">
        <v>33</v>
      </c>
      <c r="H60" s="13">
        <v>0.0</v>
      </c>
      <c r="I60" s="13">
        <v>1.0</v>
      </c>
      <c r="J60" s="13">
        <v>1.0</v>
      </c>
      <c r="K60" s="13">
        <v>1.0</v>
      </c>
      <c r="L60" s="13">
        <v>0.0</v>
      </c>
      <c r="M60" s="13">
        <v>1.0</v>
      </c>
      <c r="N60" s="13">
        <v>0.5</v>
      </c>
      <c r="O60" s="13">
        <v>1.0</v>
      </c>
      <c r="P60" s="15">
        <f t="shared" si="5"/>
        <v>0.375</v>
      </c>
      <c r="U60" s="23">
        <f t="shared" ref="U60:V60" si="62">(H60+J60+L60+N60)/4</f>
        <v>0.375</v>
      </c>
      <c r="V60" s="23">
        <f t="shared" si="62"/>
        <v>1</v>
      </c>
    </row>
    <row r="61">
      <c r="A61" s="3" t="s">
        <v>67</v>
      </c>
      <c r="B61" s="3" t="s">
        <v>343</v>
      </c>
      <c r="C61" s="3" t="s">
        <v>235</v>
      </c>
      <c r="D61" s="29" t="s">
        <v>368</v>
      </c>
      <c r="E61" s="30" t="s">
        <v>502</v>
      </c>
      <c r="F61" s="30" t="s">
        <v>370</v>
      </c>
      <c r="G61" s="31" t="s">
        <v>33</v>
      </c>
      <c r="H61" s="13">
        <v>1.0</v>
      </c>
      <c r="I61" s="13">
        <v>1.0</v>
      </c>
      <c r="J61" s="13">
        <v>1.0</v>
      </c>
      <c r="K61" s="13">
        <v>1.0</v>
      </c>
      <c r="L61" s="13">
        <v>1.0</v>
      </c>
      <c r="M61" s="13">
        <v>1.0</v>
      </c>
      <c r="N61" s="13">
        <v>1.0</v>
      </c>
      <c r="O61" s="13">
        <v>1.0</v>
      </c>
      <c r="P61" s="15">
        <f t="shared" si="5"/>
        <v>1</v>
      </c>
      <c r="U61" s="23">
        <f t="shared" ref="U61:V61" si="63">(H61+J61+L61+N61)/4</f>
        <v>1</v>
      </c>
      <c r="V61" s="23">
        <f t="shared" si="63"/>
        <v>1</v>
      </c>
    </row>
    <row r="62">
      <c r="A62" s="3" t="s">
        <v>71</v>
      </c>
      <c r="B62" s="3" t="s">
        <v>343</v>
      </c>
      <c r="C62" s="3" t="s">
        <v>235</v>
      </c>
      <c r="D62" s="29" t="s">
        <v>371</v>
      </c>
      <c r="E62" s="30" t="s">
        <v>503</v>
      </c>
      <c r="F62" s="30" t="s">
        <v>373</v>
      </c>
      <c r="G62" s="31" t="s">
        <v>33</v>
      </c>
      <c r="H62" s="13">
        <v>1.0</v>
      </c>
      <c r="I62" s="13">
        <v>1.0</v>
      </c>
      <c r="J62" s="13">
        <v>1.0</v>
      </c>
      <c r="K62" s="13">
        <v>1.0</v>
      </c>
      <c r="L62" s="13">
        <v>1.0</v>
      </c>
      <c r="M62" s="13">
        <v>1.0</v>
      </c>
      <c r="N62" s="13">
        <v>1.0</v>
      </c>
      <c r="O62" s="13">
        <v>1.0</v>
      </c>
      <c r="P62" s="15">
        <f t="shared" si="5"/>
        <v>1</v>
      </c>
      <c r="U62" s="23">
        <f t="shared" ref="U62:V62" si="64">(H62+J62+L62+N62)/4</f>
        <v>1</v>
      </c>
      <c r="V62" s="23">
        <f t="shared" si="64"/>
        <v>1</v>
      </c>
    </row>
    <row r="63">
      <c r="A63" s="3" t="s">
        <v>75</v>
      </c>
      <c r="B63" s="3" t="s">
        <v>343</v>
      </c>
      <c r="C63" s="3" t="s">
        <v>235</v>
      </c>
      <c r="D63" s="29" t="s">
        <v>374</v>
      </c>
      <c r="E63" s="30" t="s">
        <v>504</v>
      </c>
      <c r="F63" s="30" t="s">
        <v>376</v>
      </c>
      <c r="G63" s="31" t="s">
        <v>33</v>
      </c>
      <c r="H63" s="13">
        <v>1.0</v>
      </c>
      <c r="I63" s="13">
        <v>1.0</v>
      </c>
      <c r="J63" s="13">
        <v>1.0</v>
      </c>
      <c r="K63" s="13">
        <v>1.0</v>
      </c>
      <c r="L63" s="13">
        <v>0.0</v>
      </c>
      <c r="M63" s="13">
        <v>1.0</v>
      </c>
      <c r="N63" s="13">
        <v>1.0</v>
      </c>
      <c r="O63" s="13">
        <v>1.0</v>
      </c>
      <c r="P63" s="15">
        <f t="shared" si="5"/>
        <v>0.75</v>
      </c>
      <c r="U63" s="23">
        <f t="shared" ref="U63:V63" si="65">(H63+J63+L63+N63)/4</f>
        <v>0.75</v>
      </c>
      <c r="V63" s="23">
        <f t="shared" si="65"/>
        <v>1</v>
      </c>
    </row>
    <row r="64">
      <c r="A64" s="3" t="s">
        <v>79</v>
      </c>
      <c r="B64" s="3" t="s">
        <v>343</v>
      </c>
      <c r="C64" s="3" t="s">
        <v>235</v>
      </c>
      <c r="D64" s="29" t="s">
        <v>377</v>
      </c>
      <c r="E64" s="30" t="s">
        <v>505</v>
      </c>
      <c r="F64" s="30" t="s">
        <v>379</v>
      </c>
      <c r="G64" s="31" t="s">
        <v>33</v>
      </c>
      <c r="H64" s="13">
        <v>1.0</v>
      </c>
      <c r="I64" s="13">
        <v>1.0</v>
      </c>
      <c r="J64" s="13">
        <v>1.0</v>
      </c>
      <c r="K64" s="13">
        <v>1.0</v>
      </c>
      <c r="L64" s="13">
        <v>0.0</v>
      </c>
      <c r="M64" s="13">
        <v>1.0</v>
      </c>
      <c r="N64" s="13">
        <v>0.5</v>
      </c>
      <c r="O64" s="13">
        <v>1.0</v>
      </c>
      <c r="P64" s="15">
        <f t="shared" si="5"/>
        <v>0.625</v>
      </c>
      <c r="U64" s="23">
        <f t="shared" ref="U64:V64" si="66">(H64+J64+L64+N64)/4</f>
        <v>0.625</v>
      </c>
      <c r="V64" s="23">
        <f t="shared" si="66"/>
        <v>1</v>
      </c>
    </row>
    <row r="65">
      <c r="A65" s="3" t="s">
        <v>83</v>
      </c>
      <c r="B65" s="3" t="s">
        <v>343</v>
      </c>
      <c r="C65" s="3" t="s">
        <v>235</v>
      </c>
      <c r="D65" s="29" t="s">
        <v>380</v>
      </c>
      <c r="E65" s="30" t="s">
        <v>506</v>
      </c>
      <c r="F65" s="30" t="s">
        <v>382</v>
      </c>
      <c r="G65" s="31" t="s">
        <v>33</v>
      </c>
      <c r="H65" s="13">
        <v>1.0</v>
      </c>
      <c r="I65" s="13">
        <v>1.0</v>
      </c>
      <c r="J65" s="13">
        <v>1.0</v>
      </c>
      <c r="K65" s="13">
        <v>1.0</v>
      </c>
      <c r="L65" s="13">
        <v>0.0</v>
      </c>
      <c r="M65" s="13">
        <v>1.0</v>
      </c>
      <c r="N65" s="13">
        <v>1.0</v>
      </c>
      <c r="O65" s="13">
        <v>1.0</v>
      </c>
      <c r="P65" s="15">
        <f t="shared" si="5"/>
        <v>0.75</v>
      </c>
      <c r="U65" s="23">
        <f t="shared" ref="U65:V65" si="67">(H65+J65+L65+N65)/4</f>
        <v>0.75</v>
      </c>
      <c r="V65" s="23">
        <f t="shared" si="67"/>
        <v>1</v>
      </c>
    </row>
    <row r="66">
      <c r="A66" s="3" t="s">
        <v>87</v>
      </c>
      <c r="B66" s="3" t="s">
        <v>343</v>
      </c>
      <c r="C66" s="3" t="s">
        <v>235</v>
      </c>
      <c r="D66" s="29" t="s">
        <v>383</v>
      </c>
      <c r="E66" s="30" t="s">
        <v>507</v>
      </c>
      <c r="F66" s="30" t="s">
        <v>385</v>
      </c>
      <c r="G66" s="31" t="s">
        <v>33</v>
      </c>
      <c r="H66" s="13">
        <v>1.0</v>
      </c>
      <c r="I66" s="13">
        <v>1.0</v>
      </c>
      <c r="J66" s="13">
        <v>1.0</v>
      </c>
      <c r="K66" s="13">
        <v>1.0</v>
      </c>
      <c r="L66" s="13">
        <v>1.0</v>
      </c>
      <c r="M66" s="13">
        <v>1.0</v>
      </c>
      <c r="N66" s="13">
        <v>1.0</v>
      </c>
      <c r="O66" s="13">
        <v>1.0</v>
      </c>
      <c r="P66" s="15">
        <f t="shared" si="5"/>
        <v>1</v>
      </c>
      <c r="U66" s="23">
        <f t="shared" ref="U66:V66" si="68">(H66+J66+L66+N66)/4</f>
        <v>1</v>
      </c>
      <c r="V66" s="23">
        <f t="shared" si="68"/>
        <v>1</v>
      </c>
    </row>
    <row r="67">
      <c r="A67" s="3" t="s">
        <v>91</v>
      </c>
      <c r="B67" s="3" t="s">
        <v>343</v>
      </c>
      <c r="C67" s="3" t="s">
        <v>235</v>
      </c>
      <c r="D67" s="29" t="s">
        <v>386</v>
      </c>
      <c r="E67" s="30" t="s">
        <v>508</v>
      </c>
      <c r="F67" s="30" t="s">
        <v>388</v>
      </c>
      <c r="G67" s="31" t="s">
        <v>33</v>
      </c>
      <c r="H67" s="13">
        <v>1.0</v>
      </c>
      <c r="I67" s="13">
        <v>1.0</v>
      </c>
      <c r="J67" s="13">
        <v>1.0</v>
      </c>
      <c r="K67" s="13">
        <v>1.0</v>
      </c>
      <c r="L67" s="13">
        <v>0.0</v>
      </c>
      <c r="M67" s="13">
        <v>1.0</v>
      </c>
      <c r="N67" s="13">
        <v>1.0</v>
      </c>
      <c r="O67" s="13">
        <v>1.0</v>
      </c>
      <c r="P67" s="15">
        <f t="shared" si="5"/>
        <v>0.75</v>
      </c>
      <c r="U67" s="23">
        <f t="shared" ref="U67:V67" si="69">(H67+J67+L67+N67)/4</f>
        <v>0.75</v>
      </c>
      <c r="V67" s="23">
        <f t="shared" si="69"/>
        <v>1</v>
      </c>
    </row>
    <row r="68">
      <c r="A68" s="3" t="s">
        <v>95</v>
      </c>
      <c r="B68" s="3" t="s">
        <v>343</v>
      </c>
      <c r="C68" s="3" t="s">
        <v>235</v>
      </c>
      <c r="D68" s="29" t="s">
        <v>389</v>
      </c>
      <c r="E68" s="30" t="s">
        <v>509</v>
      </c>
      <c r="F68" s="30" t="s">
        <v>391</v>
      </c>
      <c r="G68" s="31" t="s">
        <v>33</v>
      </c>
      <c r="H68" s="13">
        <v>1.0</v>
      </c>
      <c r="I68" s="13">
        <v>1.0</v>
      </c>
      <c r="J68" s="13">
        <v>1.0</v>
      </c>
      <c r="K68" s="13">
        <v>1.0</v>
      </c>
      <c r="L68" s="13">
        <v>0.0</v>
      </c>
      <c r="M68" s="13">
        <v>1.0</v>
      </c>
      <c r="N68" s="13">
        <v>0.5</v>
      </c>
      <c r="O68" s="13">
        <v>1.0</v>
      </c>
      <c r="P68" s="15">
        <f t="shared" si="5"/>
        <v>0.625</v>
      </c>
      <c r="U68" s="23">
        <f t="shared" ref="U68:V68" si="70">(H68+J68+L68+N68)/4</f>
        <v>0.625</v>
      </c>
      <c r="V68" s="23">
        <f t="shared" si="70"/>
        <v>1</v>
      </c>
    </row>
    <row r="69">
      <c r="A69" s="3" t="s">
        <v>99</v>
      </c>
      <c r="B69" s="3" t="s">
        <v>343</v>
      </c>
      <c r="C69" s="3" t="s">
        <v>235</v>
      </c>
      <c r="D69" s="29" t="s">
        <v>392</v>
      </c>
      <c r="E69" s="30" t="s">
        <v>510</v>
      </c>
      <c r="F69" s="30" t="s">
        <v>394</v>
      </c>
      <c r="G69" s="31" t="s">
        <v>33</v>
      </c>
      <c r="H69" s="13">
        <v>1.0</v>
      </c>
      <c r="I69" s="13">
        <v>1.0</v>
      </c>
      <c r="J69" s="13">
        <v>1.0</v>
      </c>
      <c r="K69" s="13">
        <v>1.0</v>
      </c>
      <c r="L69" s="13">
        <v>0.0</v>
      </c>
      <c r="M69" s="13">
        <v>1.0</v>
      </c>
      <c r="N69" s="13">
        <v>1.0</v>
      </c>
      <c r="O69" s="13">
        <v>1.0</v>
      </c>
      <c r="P69" s="15">
        <f t="shared" si="5"/>
        <v>0.75</v>
      </c>
      <c r="U69" s="23">
        <f t="shared" ref="U69:V69" si="71">(H69+J69+L69+N69)/4</f>
        <v>0.75</v>
      </c>
      <c r="V69" s="23">
        <f t="shared" si="71"/>
        <v>1</v>
      </c>
    </row>
    <row r="70">
      <c r="A70" s="3" t="s">
        <v>103</v>
      </c>
      <c r="B70" s="3" t="s">
        <v>343</v>
      </c>
      <c r="C70" s="3" t="s">
        <v>235</v>
      </c>
      <c r="D70" s="29" t="s">
        <v>395</v>
      </c>
      <c r="E70" s="30" t="s">
        <v>511</v>
      </c>
      <c r="F70" s="30" t="s">
        <v>397</v>
      </c>
      <c r="G70" s="31" t="s">
        <v>33</v>
      </c>
      <c r="H70" s="13">
        <v>0.0</v>
      </c>
      <c r="I70" s="13">
        <v>1.0</v>
      </c>
      <c r="J70" s="13">
        <v>1.0</v>
      </c>
      <c r="K70" s="13">
        <v>1.0</v>
      </c>
      <c r="L70" s="13">
        <v>0.0</v>
      </c>
      <c r="M70" s="13">
        <v>1.0</v>
      </c>
      <c r="N70" s="13">
        <v>0.5</v>
      </c>
      <c r="O70" s="13">
        <v>1.0</v>
      </c>
      <c r="P70" s="15">
        <f t="shared" si="5"/>
        <v>0.375</v>
      </c>
      <c r="U70" s="23">
        <f t="shared" ref="U70:V70" si="72">(H70+J70+L70+N70)/4</f>
        <v>0.375</v>
      </c>
      <c r="V70" s="23">
        <f t="shared" si="72"/>
        <v>1</v>
      </c>
    </row>
    <row r="71">
      <c r="A71" s="3" t="s">
        <v>107</v>
      </c>
      <c r="B71" s="3" t="s">
        <v>343</v>
      </c>
      <c r="C71" s="3" t="s">
        <v>235</v>
      </c>
      <c r="D71" s="29" t="s">
        <v>398</v>
      </c>
      <c r="E71" s="30" t="s">
        <v>512</v>
      </c>
      <c r="F71" s="30" t="s">
        <v>400</v>
      </c>
      <c r="G71" s="31" t="s">
        <v>33</v>
      </c>
      <c r="H71" s="13">
        <v>1.0</v>
      </c>
      <c r="I71" s="13">
        <v>1.0</v>
      </c>
      <c r="J71" s="13">
        <v>1.0</v>
      </c>
      <c r="K71" s="13">
        <v>1.0</v>
      </c>
      <c r="L71" s="13">
        <v>1.0</v>
      </c>
      <c r="M71" s="13">
        <v>1.0</v>
      </c>
      <c r="N71" s="13">
        <v>1.0</v>
      </c>
      <c r="O71" s="13">
        <v>1.0</v>
      </c>
      <c r="P71" s="15">
        <f t="shared" si="5"/>
        <v>1</v>
      </c>
      <c r="U71" s="23">
        <f t="shared" ref="U71:V71" si="73">(H71+J71+L71+N71)/4</f>
        <v>1</v>
      </c>
      <c r="V71" s="23">
        <f t="shared" si="73"/>
        <v>1</v>
      </c>
    </row>
    <row r="72">
      <c r="A72" s="3" t="s">
        <v>111</v>
      </c>
      <c r="B72" s="3" t="s">
        <v>343</v>
      </c>
      <c r="C72" s="3" t="s">
        <v>235</v>
      </c>
      <c r="D72" s="29" t="s">
        <v>401</v>
      </c>
      <c r="E72" s="30" t="s">
        <v>513</v>
      </c>
      <c r="F72" s="30" t="s">
        <v>403</v>
      </c>
      <c r="G72" s="31" t="s">
        <v>33</v>
      </c>
      <c r="H72" s="13">
        <v>1.0</v>
      </c>
      <c r="I72" s="13">
        <v>1.0</v>
      </c>
      <c r="J72" s="13">
        <v>1.0</v>
      </c>
      <c r="K72" s="13">
        <v>1.0</v>
      </c>
      <c r="L72" s="13">
        <v>0.0</v>
      </c>
      <c r="M72" s="13">
        <v>1.0</v>
      </c>
      <c r="N72" s="13">
        <v>1.0</v>
      </c>
      <c r="O72" s="13">
        <v>1.0</v>
      </c>
      <c r="P72" s="15">
        <f t="shared" si="5"/>
        <v>0.75</v>
      </c>
      <c r="U72" s="23">
        <f t="shared" ref="U72:V72" si="74">(H72+J72+L72+N72)/4</f>
        <v>0.75</v>
      </c>
      <c r="V72" s="23">
        <f t="shared" si="74"/>
        <v>1</v>
      </c>
    </row>
    <row r="73">
      <c r="A73" s="3" t="s">
        <v>115</v>
      </c>
      <c r="B73" s="3" t="s">
        <v>343</v>
      </c>
      <c r="C73" s="3" t="s">
        <v>235</v>
      </c>
      <c r="D73" s="29" t="s">
        <v>404</v>
      </c>
      <c r="E73" s="30" t="s">
        <v>514</v>
      </c>
      <c r="F73" s="30" t="s">
        <v>406</v>
      </c>
      <c r="G73" s="31" t="s">
        <v>33</v>
      </c>
      <c r="H73" s="13">
        <v>1.0</v>
      </c>
      <c r="I73" s="13">
        <v>1.0</v>
      </c>
      <c r="J73" s="13">
        <v>1.0</v>
      </c>
      <c r="K73" s="13">
        <v>1.0</v>
      </c>
      <c r="L73" s="13">
        <v>0.0</v>
      </c>
      <c r="M73" s="13">
        <v>1.0</v>
      </c>
      <c r="N73" s="13">
        <v>0.5</v>
      </c>
      <c r="O73" s="13">
        <v>1.0</v>
      </c>
      <c r="P73" s="15">
        <f t="shared" si="5"/>
        <v>0.625</v>
      </c>
      <c r="U73" s="23">
        <f t="shared" ref="U73:V73" si="75">(H73+J73+L73+N73)/4</f>
        <v>0.625</v>
      </c>
      <c r="V73" s="23">
        <f t="shared" si="75"/>
        <v>1</v>
      </c>
    </row>
    <row r="74">
      <c r="A74" s="3" t="s">
        <v>119</v>
      </c>
      <c r="B74" s="3" t="s">
        <v>343</v>
      </c>
      <c r="C74" s="3" t="s">
        <v>235</v>
      </c>
      <c r="D74" s="29" t="s">
        <v>407</v>
      </c>
      <c r="E74" s="30" t="s">
        <v>515</v>
      </c>
      <c r="F74" s="30" t="s">
        <v>409</v>
      </c>
      <c r="G74" s="31" t="s">
        <v>33</v>
      </c>
      <c r="H74" s="13">
        <v>1.0</v>
      </c>
      <c r="I74" s="13">
        <v>1.0</v>
      </c>
      <c r="J74" s="13">
        <v>1.0</v>
      </c>
      <c r="K74" s="13">
        <v>1.0</v>
      </c>
      <c r="L74" s="13">
        <v>0.0</v>
      </c>
      <c r="M74" s="13">
        <v>1.0</v>
      </c>
      <c r="N74" s="13">
        <v>0.5</v>
      </c>
      <c r="O74" s="13">
        <v>1.0</v>
      </c>
      <c r="P74" s="15">
        <f t="shared" si="5"/>
        <v>0.625</v>
      </c>
      <c r="U74" s="23">
        <f t="shared" ref="U74:V74" si="76">(H74+J74+L74+N74)/4</f>
        <v>0.625</v>
      </c>
      <c r="V74" s="23">
        <f t="shared" si="76"/>
        <v>1</v>
      </c>
    </row>
    <row r="75">
      <c r="A75" s="3" t="s">
        <v>123</v>
      </c>
      <c r="B75" s="3" t="s">
        <v>343</v>
      </c>
      <c r="C75" s="3" t="s">
        <v>235</v>
      </c>
      <c r="D75" s="29" t="s">
        <v>410</v>
      </c>
      <c r="E75" s="30" t="s">
        <v>516</v>
      </c>
      <c r="F75" s="30" t="s">
        <v>412</v>
      </c>
      <c r="G75" s="31" t="s">
        <v>33</v>
      </c>
      <c r="H75" s="13">
        <v>1.0</v>
      </c>
      <c r="I75" s="13">
        <v>1.0</v>
      </c>
      <c r="J75" s="13">
        <v>1.0</v>
      </c>
      <c r="K75" s="13">
        <v>1.0</v>
      </c>
      <c r="L75" s="13">
        <v>1.0</v>
      </c>
      <c r="M75" s="13">
        <v>1.0</v>
      </c>
      <c r="N75" s="13">
        <v>1.0</v>
      </c>
      <c r="O75" s="13">
        <v>1.0</v>
      </c>
      <c r="P75" s="15">
        <f t="shared" si="5"/>
        <v>1</v>
      </c>
      <c r="U75" s="23">
        <f t="shared" ref="U75:V75" si="77">(H75+J75+L75+N75)/4</f>
        <v>1</v>
      </c>
      <c r="V75" s="23">
        <f t="shared" si="77"/>
        <v>1</v>
      </c>
    </row>
    <row r="76">
      <c r="A76" s="3" t="s">
        <v>127</v>
      </c>
      <c r="B76" s="3" t="s">
        <v>343</v>
      </c>
      <c r="C76" s="3" t="s">
        <v>235</v>
      </c>
      <c r="D76" s="29" t="s">
        <v>413</v>
      </c>
      <c r="E76" s="30" t="s">
        <v>517</v>
      </c>
      <c r="F76" s="30" t="s">
        <v>415</v>
      </c>
      <c r="G76" s="31" t="s">
        <v>33</v>
      </c>
      <c r="H76" s="13">
        <v>1.0</v>
      </c>
      <c r="I76" s="13">
        <v>1.0</v>
      </c>
      <c r="J76" s="13">
        <v>1.0</v>
      </c>
      <c r="K76" s="13">
        <v>1.0</v>
      </c>
      <c r="L76" s="13">
        <v>1.0</v>
      </c>
      <c r="M76" s="13">
        <v>1.0</v>
      </c>
      <c r="N76" s="13">
        <v>1.0</v>
      </c>
      <c r="O76" s="13">
        <v>1.0</v>
      </c>
      <c r="P76" s="15">
        <f t="shared" si="5"/>
        <v>1</v>
      </c>
      <c r="U76" s="23">
        <f t="shared" ref="U76:V76" si="78">(H76+J76+L76+N76)/4</f>
        <v>1</v>
      </c>
      <c r="V76" s="23">
        <f t="shared" si="78"/>
        <v>1</v>
      </c>
    </row>
    <row r="77">
      <c r="A77" s="3" t="s">
        <v>131</v>
      </c>
      <c r="B77" s="3" t="s">
        <v>343</v>
      </c>
      <c r="C77" s="3" t="s">
        <v>235</v>
      </c>
      <c r="D77" s="29" t="s">
        <v>416</v>
      </c>
      <c r="E77" s="30" t="s">
        <v>518</v>
      </c>
      <c r="F77" s="30" t="s">
        <v>418</v>
      </c>
      <c r="G77" s="31" t="s">
        <v>33</v>
      </c>
      <c r="H77" s="13">
        <v>1.0</v>
      </c>
      <c r="I77" s="13">
        <v>1.0</v>
      </c>
      <c r="J77" s="13">
        <v>1.0</v>
      </c>
      <c r="K77" s="13">
        <v>1.0</v>
      </c>
      <c r="L77" s="13">
        <v>0.0</v>
      </c>
      <c r="M77" s="13">
        <v>1.0</v>
      </c>
      <c r="N77" s="13">
        <v>0.5</v>
      </c>
      <c r="O77" s="13">
        <v>1.0</v>
      </c>
      <c r="P77" s="15">
        <f t="shared" si="5"/>
        <v>0.625</v>
      </c>
      <c r="U77" s="23">
        <f t="shared" ref="U77:V77" si="79">(H77+J77+L77+N77)/4</f>
        <v>0.625</v>
      </c>
      <c r="V77" s="23">
        <f t="shared" si="79"/>
        <v>1</v>
      </c>
    </row>
    <row r="78">
      <c r="A78" s="3" t="s">
        <v>135</v>
      </c>
      <c r="B78" s="3" t="s">
        <v>343</v>
      </c>
      <c r="C78" s="3" t="s">
        <v>235</v>
      </c>
      <c r="D78" s="29" t="s">
        <v>419</v>
      </c>
      <c r="E78" s="30" t="s">
        <v>519</v>
      </c>
      <c r="F78" s="30" t="s">
        <v>421</v>
      </c>
      <c r="G78" s="31" t="s">
        <v>33</v>
      </c>
      <c r="H78" s="13">
        <v>1.0</v>
      </c>
      <c r="I78" s="13">
        <v>1.0</v>
      </c>
      <c r="J78" s="13">
        <v>1.0</v>
      </c>
      <c r="K78" s="13">
        <v>1.0</v>
      </c>
      <c r="L78" s="13">
        <v>0.0</v>
      </c>
      <c r="M78" s="13">
        <v>1.0</v>
      </c>
      <c r="N78" s="13">
        <v>0.5</v>
      </c>
      <c r="O78" s="13">
        <v>1.0</v>
      </c>
      <c r="P78" s="15">
        <f t="shared" si="5"/>
        <v>0.625</v>
      </c>
      <c r="U78" s="23">
        <f t="shared" ref="U78:V78" si="80">(H78+J78+L78+N78)/4</f>
        <v>0.625</v>
      </c>
      <c r="V78" s="23">
        <f t="shared" si="80"/>
        <v>1</v>
      </c>
    </row>
    <row r="79">
      <c r="A79" s="3" t="s">
        <v>139</v>
      </c>
      <c r="B79" s="3" t="s">
        <v>343</v>
      </c>
      <c r="C79" s="3" t="s">
        <v>235</v>
      </c>
      <c r="D79" s="29" t="s">
        <v>422</v>
      </c>
      <c r="E79" s="30" t="s">
        <v>520</v>
      </c>
      <c r="F79" s="30" t="s">
        <v>424</v>
      </c>
      <c r="G79" s="31" t="s">
        <v>39</v>
      </c>
      <c r="H79" s="13">
        <v>1.0</v>
      </c>
      <c r="I79" s="13">
        <v>0.5</v>
      </c>
      <c r="J79" s="13">
        <v>1.0</v>
      </c>
      <c r="K79" s="13">
        <v>1.0</v>
      </c>
      <c r="L79" s="13">
        <v>0.0</v>
      </c>
      <c r="M79" s="13">
        <v>0.0</v>
      </c>
      <c r="N79" s="13">
        <v>1.0</v>
      </c>
      <c r="O79" s="13">
        <v>0.5</v>
      </c>
      <c r="P79" s="15">
        <f t="shared" si="5"/>
        <v>0.75</v>
      </c>
      <c r="U79" s="23">
        <f t="shared" ref="U79:V79" si="81">(H79+J79+L79+N79)/4</f>
        <v>0.75</v>
      </c>
      <c r="V79" s="23">
        <f t="shared" si="81"/>
        <v>0.5</v>
      </c>
    </row>
    <row r="80">
      <c r="A80" s="3" t="s">
        <v>143</v>
      </c>
      <c r="B80" s="3" t="s">
        <v>343</v>
      </c>
      <c r="C80" s="3" t="s">
        <v>235</v>
      </c>
      <c r="D80" s="29" t="s">
        <v>425</v>
      </c>
      <c r="E80" s="30" t="s">
        <v>521</v>
      </c>
      <c r="F80" s="30" t="s">
        <v>427</v>
      </c>
      <c r="G80" s="31" t="s">
        <v>33</v>
      </c>
      <c r="H80" s="13">
        <v>1.0</v>
      </c>
      <c r="I80" s="13">
        <v>1.0</v>
      </c>
      <c r="J80" s="13">
        <v>1.0</v>
      </c>
      <c r="K80" s="13">
        <v>1.0</v>
      </c>
      <c r="L80" s="13">
        <v>0.0</v>
      </c>
      <c r="M80" s="13">
        <v>1.0</v>
      </c>
      <c r="N80" s="13">
        <v>0.0</v>
      </c>
      <c r="O80" s="13">
        <v>1.0</v>
      </c>
      <c r="P80" s="15">
        <f t="shared" si="5"/>
        <v>0.5</v>
      </c>
      <c r="U80" s="23">
        <f t="shared" ref="U80:V80" si="82">(H80+J80+L80+N80)/4</f>
        <v>0.5</v>
      </c>
      <c r="V80" s="23">
        <f t="shared" si="82"/>
        <v>1</v>
      </c>
    </row>
    <row r="81">
      <c r="A81" s="3" t="s">
        <v>147</v>
      </c>
      <c r="B81" s="3" t="s">
        <v>343</v>
      </c>
      <c r="C81" s="3" t="s">
        <v>235</v>
      </c>
      <c r="D81" s="29" t="s">
        <v>428</v>
      </c>
      <c r="E81" s="30" t="s">
        <v>522</v>
      </c>
      <c r="F81" s="30" t="s">
        <v>430</v>
      </c>
      <c r="G81" s="31" t="s">
        <v>33</v>
      </c>
      <c r="H81" s="13">
        <v>1.0</v>
      </c>
      <c r="I81" s="13">
        <v>1.0</v>
      </c>
      <c r="J81" s="13">
        <v>1.0</v>
      </c>
      <c r="K81" s="13">
        <v>1.0</v>
      </c>
      <c r="L81" s="13">
        <v>0.0</v>
      </c>
      <c r="M81" s="13">
        <v>0.0</v>
      </c>
      <c r="N81" s="13">
        <v>1.0</v>
      </c>
      <c r="O81" s="13">
        <v>0.5</v>
      </c>
      <c r="P81" s="15">
        <f t="shared" si="5"/>
        <v>0.875</v>
      </c>
      <c r="U81" s="23">
        <f t="shared" ref="U81:V81" si="83">(H81+J81+L81+N81)/4</f>
        <v>0.75</v>
      </c>
      <c r="V81" s="23">
        <f t="shared" si="83"/>
        <v>0.625</v>
      </c>
    </row>
    <row r="82">
      <c r="A82" s="3" t="s">
        <v>151</v>
      </c>
      <c r="B82" s="3" t="s">
        <v>343</v>
      </c>
      <c r="C82" s="3" t="s">
        <v>235</v>
      </c>
      <c r="D82" s="29" t="s">
        <v>431</v>
      </c>
      <c r="E82" s="30" t="s">
        <v>523</v>
      </c>
      <c r="F82" s="30" t="s">
        <v>433</v>
      </c>
      <c r="G82" s="31" t="s">
        <v>33</v>
      </c>
      <c r="H82" s="13">
        <v>1.0</v>
      </c>
      <c r="I82" s="13">
        <v>1.0</v>
      </c>
      <c r="J82" s="13">
        <v>1.0</v>
      </c>
      <c r="K82" s="13">
        <v>1.0</v>
      </c>
      <c r="L82" s="13">
        <v>1.0</v>
      </c>
      <c r="M82" s="13">
        <v>1.0</v>
      </c>
      <c r="N82" s="13">
        <v>1.0</v>
      </c>
      <c r="O82" s="13">
        <v>1.0</v>
      </c>
      <c r="P82" s="15">
        <f t="shared" si="5"/>
        <v>1</v>
      </c>
      <c r="U82" s="23">
        <f t="shared" ref="U82:V82" si="84">(H82+J82+L82+N82)/4</f>
        <v>1</v>
      </c>
      <c r="V82" s="23">
        <f t="shared" si="84"/>
        <v>1</v>
      </c>
    </row>
    <row r="83">
      <c r="A83" s="3" t="s">
        <v>155</v>
      </c>
      <c r="B83" s="3" t="s">
        <v>343</v>
      </c>
      <c r="C83" s="3" t="s">
        <v>235</v>
      </c>
      <c r="D83" s="29" t="s">
        <v>434</v>
      </c>
      <c r="E83" s="30" t="s">
        <v>524</v>
      </c>
      <c r="F83" s="30" t="s">
        <v>436</v>
      </c>
      <c r="G83" s="31" t="s">
        <v>33</v>
      </c>
      <c r="H83" s="13">
        <v>0.5</v>
      </c>
      <c r="I83" s="13">
        <v>1.0</v>
      </c>
      <c r="J83" s="13">
        <v>0.5</v>
      </c>
      <c r="K83" s="13">
        <v>1.0</v>
      </c>
      <c r="L83" s="13">
        <v>0.0</v>
      </c>
      <c r="M83" s="13">
        <v>1.0</v>
      </c>
      <c r="N83" s="13">
        <v>0.5</v>
      </c>
      <c r="O83" s="13">
        <v>1.0</v>
      </c>
      <c r="P83" s="15">
        <f t="shared" si="5"/>
        <v>0.375</v>
      </c>
      <c r="U83" s="23">
        <f t="shared" ref="U83:V83" si="85">(H83+J83+L83+N83)/4</f>
        <v>0.375</v>
      </c>
      <c r="V83" s="23">
        <f t="shared" si="85"/>
        <v>1</v>
      </c>
    </row>
    <row r="84">
      <c r="A84" s="3" t="s">
        <v>159</v>
      </c>
      <c r="B84" s="3" t="s">
        <v>343</v>
      </c>
      <c r="C84" s="3" t="s">
        <v>235</v>
      </c>
      <c r="D84" s="29" t="s">
        <v>437</v>
      </c>
      <c r="E84" s="30" t="s">
        <v>525</v>
      </c>
      <c r="F84" s="30" t="s">
        <v>439</v>
      </c>
      <c r="G84" s="31" t="s">
        <v>33</v>
      </c>
      <c r="H84" s="13">
        <v>1.0</v>
      </c>
      <c r="I84" s="13">
        <v>1.0</v>
      </c>
      <c r="J84" s="13">
        <v>1.0</v>
      </c>
      <c r="K84" s="13">
        <v>1.0</v>
      </c>
      <c r="L84" s="13">
        <v>1.0</v>
      </c>
      <c r="M84" s="13">
        <v>1.0</v>
      </c>
      <c r="N84" s="13">
        <v>1.0</v>
      </c>
      <c r="O84" s="13">
        <v>1.0</v>
      </c>
      <c r="P84" s="15">
        <f t="shared" si="5"/>
        <v>1</v>
      </c>
      <c r="U84" s="23">
        <f t="shared" ref="U84:V84" si="86">(H84+J84+L84+N84)/4</f>
        <v>1</v>
      </c>
      <c r="V84" s="23">
        <f t="shared" si="86"/>
        <v>1</v>
      </c>
    </row>
    <row r="85">
      <c r="A85" s="3" t="s">
        <v>163</v>
      </c>
      <c r="B85" s="3" t="s">
        <v>343</v>
      </c>
      <c r="C85" s="3" t="s">
        <v>235</v>
      </c>
      <c r="D85" s="29" t="s">
        <v>440</v>
      </c>
      <c r="E85" s="30" t="s">
        <v>526</v>
      </c>
      <c r="F85" s="30" t="s">
        <v>442</v>
      </c>
      <c r="G85" s="31" t="s">
        <v>33</v>
      </c>
      <c r="H85" s="13">
        <v>1.0</v>
      </c>
      <c r="I85" s="13">
        <v>1.0</v>
      </c>
      <c r="J85" s="13">
        <v>1.0</v>
      </c>
      <c r="K85" s="13">
        <v>1.0</v>
      </c>
      <c r="L85" s="13">
        <v>1.0</v>
      </c>
      <c r="M85" s="13">
        <v>1.0</v>
      </c>
      <c r="N85" s="13">
        <v>1.0</v>
      </c>
      <c r="O85" s="13">
        <v>1.0</v>
      </c>
      <c r="P85" s="15">
        <f t="shared" si="5"/>
        <v>1</v>
      </c>
      <c r="U85" s="23">
        <f t="shared" ref="U85:V85" si="87">(H85+J85+L85+N85)/4</f>
        <v>1</v>
      </c>
      <c r="V85" s="23">
        <f t="shared" si="87"/>
        <v>1</v>
      </c>
    </row>
    <row r="86">
      <c r="A86" s="3" t="s">
        <v>167</v>
      </c>
      <c r="B86" s="3" t="s">
        <v>343</v>
      </c>
      <c r="C86" s="3" t="s">
        <v>235</v>
      </c>
      <c r="D86" s="29" t="s">
        <v>443</v>
      </c>
      <c r="E86" s="30" t="s">
        <v>527</v>
      </c>
      <c r="F86" s="30" t="s">
        <v>445</v>
      </c>
      <c r="G86" s="31" t="s">
        <v>33</v>
      </c>
      <c r="H86" s="13">
        <v>1.0</v>
      </c>
      <c r="I86" s="13">
        <v>1.0</v>
      </c>
      <c r="J86" s="13">
        <v>1.0</v>
      </c>
      <c r="K86" s="13">
        <v>1.0</v>
      </c>
      <c r="L86" s="13">
        <v>1.0</v>
      </c>
      <c r="M86" s="13">
        <v>0.0</v>
      </c>
      <c r="N86" s="13">
        <v>1.0</v>
      </c>
      <c r="O86" s="13">
        <v>0.5</v>
      </c>
      <c r="P86" s="15">
        <f t="shared" si="5"/>
        <v>0.625</v>
      </c>
      <c r="U86" s="23">
        <f t="shared" ref="U86:V86" si="88">(H86+J86+L86+N86)/4</f>
        <v>1</v>
      </c>
      <c r="V86" s="23">
        <f t="shared" si="88"/>
        <v>0.625</v>
      </c>
    </row>
    <row r="87">
      <c r="A87" s="3" t="s">
        <v>171</v>
      </c>
      <c r="B87" s="3" t="s">
        <v>343</v>
      </c>
      <c r="C87" s="3" t="s">
        <v>235</v>
      </c>
      <c r="D87" s="29" t="s">
        <v>446</v>
      </c>
      <c r="E87" s="30" t="s">
        <v>528</v>
      </c>
      <c r="F87" s="30" t="s">
        <v>448</v>
      </c>
      <c r="G87" s="31" t="s">
        <v>33</v>
      </c>
      <c r="H87" s="13">
        <v>1.0</v>
      </c>
      <c r="I87" s="13">
        <v>1.0</v>
      </c>
      <c r="J87" s="13">
        <v>1.0</v>
      </c>
      <c r="K87" s="13">
        <v>1.0</v>
      </c>
      <c r="L87" s="13">
        <v>0.0</v>
      </c>
      <c r="M87" s="13">
        <v>1.0</v>
      </c>
      <c r="N87" s="13">
        <v>0.5</v>
      </c>
      <c r="O87" s="13">
        <v>1.0</v>
      </c>
      <c r="P87" s="15">
        <f t="shared" si="5"/>
        <v>0.625</v>
      </c>
      <c r="U87" s="23">
        <f t="shared" ref="U87:V87" si="89">(H87+J87+L87+N87)/4</f>
        <v>0.625</v>
      </c>
      <c r="V87" s="23">
        <f t="shared" si="89"/>
        <v>1</v>
      </c>
    </row>
    <row r="88">
      <c r="A88" s="3" t="s">
        <v>175</v>
      </c>
      <c r="B88" s="3" t="s">
        <v>343</v>
      </c>
      <c r="C88" s="3" t="s">
        <v>235</v>
      </c>
      <c r="D88" s="29" t="s">
        <v>449</v>
      </c>
      <c r="E88" s="30" t="s">
        <v>529</v>
      </c>
      <c r="F88" s="30" t="s">
        <v>451</v>
      </c>
      <c r="G88" s="31" t="s">
        <v>33</v>
      </c>
      <c r="H88" s="13">
        <v>1.0</v>
      </c>
      <c r="I88" s="13">
        <v>1.0</v>
      </c>
      <c r="J88" s="13">
        <v>1.0</v>
      </c>
      <c r="K88" s="13">
        <v>1.0</v>
      </c>
      <c r="L88" s="13">
        <v>1.0</v>
      </c>
      <c r="M88" s="13">
        <v>1.0</v>
      </c>
      <c r="N88" s="13">
        <v>1.0</v>
      </c>
      <c r="O88" s="13">
        <v>1.0</v>
      </c>
      <c r="P88" s="15">
        <f t="shared" si="5"/>
        <v>1</v>
      </c>
      <c r="U88" s="23">
        <f t="shared" ref="U88:V88" si="90">(H88+J88+L88+N88)/4</f>
        <v>1</v>
      </c>
      <c r="V88" s="23">
        <f t="shared" si="90"/>
        <v>1</v>
      </c>
    </row>
    <row r="89">
      <c r="A89" s="3" t="s">
        <v>179</v>
      </c>
      <c r="B89" s="3" t="s">
        <v>343</v>
      </c>
      <c r="C89" s="3" t="s">
        <v>235</v>
      </c>
      <c r="D89" s="29" t="s">
        <v>452</v>
      </c>
      <c r="E89" s="30" t="s">
        <v>530</v>
      </c>
      <c r="F89" s="30" t="s">
        <v>454</v>
      </c>
      <c r="G89" s="31" t="s">
        <v>33</v>
      </c>
      <c r="H89" s="13">
        <v>1.0</v>
      </c>
      <c r="I89" s="13">
        <v>1.0</v>
      </c>
      <c r="J89" s="13">
        <v>1.0</v>
      </c>
      <c r="K89" s="13">
        <v>1.0</v>
      </c>
      <c r="L89" s="13">
        <v>0.0</v>
      </c>
      <c r="M89" s="13">
        <v>1.0</v>
      </c>
      <c r="N89" s="13">
        <v>1.0</v>
      </c>
      <c r="O89" s="13">
        <v>1.0</v>
      </c>
      <c r="P89" s="15">
        <f t="shared" si="5"/>
        <v>0.75</v>
      </c>
      <c r="U89" s="23">
        <f t="shared" ref="U89:V89" si="91">(H89+J89+L89+N89)/4</f>
        <v>0.75</v>
      </c>
      <c r="V89" s="23">
        <f t="shared" si="91"/>
        <v>1</v>
      </c>
    </row>
    <row r="90">
      <c r="A90" s="3" t="s">
        <v>183</v>
      </c>
      <c r="B90" s="3" t="s">
        <v>343</v>
      </c>
      <c r="C90" s="3" t="s">
        <v>235</v>
      </c>
      <c r="D90" s="29" t="s">
        <v>455</v>
      </c>
      <c r="E90" s="30" t="s">
        <v>531</v>
      </c>
      <c r="F90" s="30" t="s">
        <v>457</v>
      </c>
      <c r="G90" s="31" t="s">
        <v>33</v>
      </c>
      <c r="H90" s="13">
        <v>1.0</v>
      </c>
      <c r="I90" s="13">
        <v>1.0</v>
      </c>
      <c r="J90" s="13">
        <v>1.0</v>
      </c>
      <c r="K90" s="13">
        <v>1.0</v>
      </c>
      <c r="L90" s="13">
        <v>0.0</v>
      </c>
      <c r="M90" s="13">
        <v>1.0</v>
      </c>
      <c r="N90" s="13">
        <v>1.0</v>
      </c>
      <c r="O90" s="13">
        <v>1.0</v>
      </c>
      <c r="P90" s="15">
        <f t="shared" si="5"/>
        <v>0.75</v>
      </c>
      <c r="U90" s="23">
        <f t="shared" ref="U90:V90" si="92">(H90+J90+L90+N90)/4</f>
        <v>0.75</v>
      </c>
      <c r="V90" s="23">
        <f t="shared" si="92"/>
        <v>1</v>
      </c>
    </row>
    <row r="91">
      <c r="A91" s="3" t="s">
        <v>187</v>
      </c>
      <c r="B91" s="3" t="s">
        <v>343</v>
      </c>
      <c r="C91" s="3" t="s">
        <v>235</v>
      </c>
      <c r="D91" s="29" t="s">
        <v>458</v>
      </c>
      <c r="E91" s="30" t="s">
        <v>532</v>
      </c>
      <c r="F91" s="30" t="s">
        <v>460</v>
      </c>
      <c r="G91" s="31" t="s">
        <v>33</v>
      </c>
      <c r="H91" s="13">
        <v>1.0</v>
      </c>
      <c r="I91" s="13">
        <v>1.0</v>
      </c>
      <c r="J91" s="13">
        <v>1.0</v>
      </c>
      <c r="K91" s="13">
        <v>1.0</v>
      </c>
      <c r="L91" s="13">
        <v>1.0</v>
      </c>
      <c r="M91" s="13">
        <v>1.0</v>
      </c>
      <c r="N91" s="13">
        <v>1.0</v>
      </c>
      <c r="O91" s="13">
        <v>1.0</v>
      </c>
      <c r="P91" s="15">
        <f t="shared" si="5"/>
        <v>1</v>
      </c>
      <c r="U91" s="23">
        <f t="shared" ref="U91:V91" si="93">(H91+J91+L91+N91)/4</f>
        <v>1</v>
      </c>
      <c r="V91" s="23">
        <f t="shared" si="93"/>
        <v>1</v>
      </c>
    </row>
    <row r="92">
      <c r="A92" s="3" t="s">
        <v>191</v>
      </c>
      <c r="B92" s="3" t="s">
        <v>343</v>
      </c>
      <c r="C92" s="3" t="s">
        <v>235</v>
      </c>
      <c r="D92" s="29" t="s">
        <v>461</v>
      </c>
      <c r="E92" s="30" t="s">
        <v>533</v>
      </c>
      <c r="F92" s="30" t="s">
        <v>463</v>
      </c>
      <c r="G92" s="31" t="s">
        <v>33</v>
      </c>
      <c r="H92" s="13">
        <v>1.0</v>
      </c>
      <c r="I92" s="13">
        <v>1.0</v>
      </c>
      <c r="J92" s="13">
        <v>1.0</v>
      </c>
      <c r="K92" s="13">
        <v>1.0</v>
      </c>
      <c r="L92" s="13">
        <v>1.0</v>
      </c>
      <c r="M92" s="13">
        <v>1.0</v>
      </c>
      <c r="N92" s="13">
        <v>1.0</v>
      </c>
      <c r="O92" s="13">
        <v>1.0</v>
      </c>
      <c r="P92" s="15">
        <f t="shared" si="5"/>
        <v>1</v>
      </c>
      <c r="U92" s="23">
        <f t="shared" ref="U92:V92" si="94">(H92+J92+L92+N92)/4</f>
        <v>1</v>
      </c>
      <c r="V92" s="23">
        <f t="shared" si="94"/>
        <v>1</v>
      </c>
    </row>
    <row r="93">
      <c r="A93" s="3" t="s">
        <v>195</v>
      </c>
      <c r="B93" s="3" t="s">
        <v>343</v>
      </c>
      <c r="C93" s="3" t="s">
        <v>235</v>
      </c>
      <c r="D93" s="29" t="s">
        <v>464</v>
      </c>
      <c r="E93" s="30" t="s">
        <v>534</v>
      </c>
      <c r="F93" s="30" t="s">
        <v>466</v>
      </c>
      <c r="G93" s="31" t="s">
        <v>33</v>
      </c>
      <c r="H93" s="13">
        <v>1.0</v>
      </c>
      <c r="I93" s="13">
        <v>1.0</v>
      </c>
      <c r="J93" s="13">
        <v>1.0</v>
      </c>
      <c r="K93" s="13">
        <v>1.0</v>
      </c>
      <c r="L93" s="13">
        <v>0.0</v>
      </c>
      <c r="M93" s="13">
        <v>1.0</v>
      </c>
      <c r="N93" s="13">
        <v>0.5</v>
      </c>
      <c r="O93" s="13">
        <v>1.0</v>
      </c>
      <c r="P93" s="15">
        <f t="shared" si="5"/>
        <v>0.625</v>
      </c>
      <c r="U93" s="23">
        <f t="shared" ref="U93:V93" si="95">(H93+J93+L93+N93)/4</f>
        <v>0.625</v>
      </c>
      <c r="V93" s="23">
        <f t="shared" si="95"/>
        <v>1</v>
      </c>
    </row>
    <row r="94">
      <c r="A94" s="3" t="s">
        <v>199</v>
      </c>
      <c r="B94" s="3" t="s">
        <v>343</v>
      </c>
      <c r="C94" s="3" t="s">
        <v>235</v>
      </c>
      <c r="D94" s="29" t="s">
        <v>467</v>
      </c>
      <c r="E94" s="30" t="s">
        <v>535</v>
      </c>
      <c r="F94" s="30" t="s">
        <v>469</v>
      </c>
      <c r="G94" s="31" t="s">
        <v>33</v>
      </c>
      <c r="H94" s="13">
        <v>1.0</v>
      </c>
      <c r="I94" s="13">
        <v>1.0</v>
      </c>
      <c r="J94" s="13">
        <v>1.0</v>
      </c>
      <c r="K94" s="13">
        <v>1.0</v>
      </c>
      <c r="L94" s="13">
        <v>1.0</v>
      </c>
      <c r="M94" s="13">
        <v>1.0</v>
      </c>
      <c r="N94" s="13">
        <v>1.0</v>
      </c>
      <c r="O94" s="13">
        <v>1.0</v>
      </c>
      <c r="P94" s="15">
        <f t="shared" si="5"/>
        <v>1</v>
      </c>
      <c r="U94" s="23">
        <f t="shared" ref="U94:V94" si="96">(H94+J94+L94+N94)/4</f>
        <v>1</v>
      </c>
      <c r="V94" s="23">
        <f t="shared" si="96"/>
        <v>1</v>
      </c>
    </row>
    <row r="95">
      <c r="A95" s="3" t="s">
        <v>203</v>
      </c>
      <c r="B95" s="3" t="s">
        <v>343</v>
      </c>
      <c r="C95" s="3" t="s">
        <v>235</v>
      </c>
      <c r="D95" s="29" t="s">
        <v>470</v>
      </c>
      <c r="E95" s="30" t="s">
        <v>536</v>
      </c>
      <c r="F95" s="30" t="s">
        <v>472</v>
      </c>
      <c r="G95" s="31" t="s">
        <v>33</v>
      </c>
      <c r="H95" s="13">
        <v>1.0</v>
      </c>
      <c r="I95" s="13">
        <v>1.0</v>
      </c>
      <c r="J95" s="13">
        <v>1.0</v>
      </c>
      <c r="K95" s="13">
        <v>1.0</v>
      </c>
      <c r="L95" s="13">
        <v>0.5</v>
      </c>
      <c r="M95" s="13">
        <v>1.0</v>
      </c>
      <c r="N95" s="13">
        <v>1.0</v>
      </c>
      <c r="O95" s="13">
        <v>1.0</v>
      </c>
      <c r="P95" s="15">
        <f t="shared" si="5"/>
        <v>0.875</v>
      </c>
      <c r="U95" s="23">
        <f t="shared" ref="U95:V95" si="97">(H95+J95+L95+N95)/4</f>
        <v>0.875</v>
      </c>
      <c r="V95" s="23">
        <f t="shared" si="97"/>
        <v>1</v>
      </c>
    </row>
    <row r="96">
      <c r="A96" s="3" t="s">
        <v>207</v>
      </c>
      <c r="B96" s="3" t="s">
        <v>343</v>
      </c>
      <c r="C96" s="3" t="s">
        <v>235</v>
      </c>
      <c r="D96" s="29" t="s">
        <v>473</v>
      </c>
      <c r="E96" s="30" t="s">
        <v>537</v>
      </c>
      <c r="F96" s="30" t="s">
        <v>475</v>
      </c>
      <c r="G96" s="31" t="s">
        <v>33</v>
      </c>
      <c r="H96" s="13">
        <v>1.0</v>
      </c>
      <c r="I96" s="13">
        <v>1.0</v>
      </c>
      <c r="J96" s="13">
        <v>1.0</v>
      </c>
      <c r="K96" s="13">
        <v>1.0</v>
      </c>
      <c r="L96" s="13">
        <v>1.0</v>
      </c>
      <c r="M96" s="13">
        <v>1.0</v>
      </c>
      <c r="N96" s="13">
        <v>1.0</v>
      </c>
      <c r="O96" s="13">
        <v>1.0</v>
      </c>
      <c r="P96" s="15">
        <f t="shared" si="5"/>
        <v>1</v>
      </c>
      <c r="U96" s="23">
        <f t="shared" ref="U96:V96" si="98">(H96+J96+L96+N96)/4</f>
        <v>1</v>
      </c>
      <c r="V96" s="23">
        <f t="shared" si="98"/>
        <v>1</v>
      </c>
    </row>
    <row r="97">
      <c r="A97" s="3" t="s">
        <v>211</v>
      </c>
      <c r="B97" s="3" t="s">
        <v>343</v>
      </c>
      <c r="C97" s="3" t="s">
        <v>235</v>
      </c>
      <c r="D97" s="29" t="s">
        <v>476</v>
      </c>
      <c r="E97" s="30" t="s">
        <v>538</v>
      </c>
      <c r="F97" s="30" t="s">
        <v>478</v>
      </c>
      <c r="G97" s="31" t="s">
        <v>33</v>
      </c>
      <c r="H97" s="13">
        <v>1.0</v>
      </c>
      <c r="I97" s="13">
        <v>1.0</v>
      </c>
      <c r="J97" s="13">
        <v>1.0</v>
      </c>
      <c r="K97" s="13">
        <v>1.0</v>
      </c>
      <c r="L97" s="13">
        <v>0.0</v>
      </c>
      <c r="M97" s="13">
        <v>1.0</v>
      </c>
      <c r="N97" s="13">
        <v>1.0</v>
      </c>
      <c r="O97" s="13">
        <v>1.0</v>
      </c>
      <c r="P97" s="15">
        <f t="shared" si="5"/>
        <v>0.75</v>
      </c>
      <c r="U97" s="23">
        <f t="shared" ref="U97:V97" si="99">(H97+J97+L97+N97)/4</f>
        <v>0.75</v>
      </c>
      <c r="V97" s="23">
        <f t="shared" si="99"/>
        <v>1</v>
      </c>
    </row>
    <row r="98">
      <c r="A98" s="3" t="s">
        <v>215</v>
      </c>
      <c r="B98" s="3" t="s">
        <v>343</v>
      </c>
      <c r="C98" s="3" t="s">
        <v>235</v>
      </c>
      <c r="D98" s="29" t="s">
        <v>479</v>
      </c>
      <c r="E98" s="30" t="s">
        <v>539</v>
      </c>
      <c r="F98" s="30" t="s">
        <v>481</v>
      </c>
      <c r="G98" s="31" t="s">
        <v>33</v>
      </c>
      <c r="H98" s="13">
        <v>1.0</v>
      </c>
      <c r="I98" s="13">
        <v>1.0</v>
      </c>
      <c r="J98" s="13">
        <v>1.0</v>
      </c>
      <c r="K98" s="13">
        <v>1.0</v>
      </c>
      <c r="L98" s="13">
        <v>1.0</v>
      </c>
      <c r="M98" s="13">
        <v>1.0</v>
      </c>
      <c r="N98" s="13">
        <v>1.0</v>
      </c>
      <c r="O98" s="13">
        <v>1.0</v>
      </c>
      <c r="P98" s="15">
        <f t="shared" si="5"/>
        <v>1</v>
      </c>
      <c r="U98" s="23">
        <f t="shared" ref="U98:V98" si="100">(H98+J98+L98+N98)/4</f>
        <v>1</v>
      </c>
      <c r="V98" s="23">
        <f t="shared" si="100"/>
        <v>1</v>
      </c>
    </row>
    <row r="99">
      <c r="A99" s="3" t="s">
        <v>219</v>
      </c>
      <c r="B99" s="3" t="s">
        <v>343</v>
      </c>
      <c r="C99" s="3" t="s">
        <v>235</v>
      </c>
      <c r="D99" s="29" t="s">
        <v>482</v>
      </c>
      <c r="E99" s="30" t="s">
        <v>540</v>
      </c>
      <c r="F99" s="30" t="s">
        <v>484</v>
      </c>
      <c r="G99" s="31" t="s">
        <v>33</v>
      </c>
      <c r="H99" s="13">
        <v>1.0</v>
      </c>
      <c r="I99" s="13">
        <v>1.0</v>
      </c>
      <c r="J99" s="13">
        <v>1.0</v>
      </c>
      <c r="K99" s="13">
        <v>1.0</v>
      </c>
      <c r="L99" s="13">
        <v>0.0</v>
      </c>
      <c r="M99" s="13">
        <v>1.0</v>
      </c>
      <c r="N99" s="13">
        <v>0.5</v>
      </c>
      <c r="O99" s="13">
        <v>1.0</v>
      </c>
      <c r="P99" s="15">
        <f t="shared" si="5"/>
        <v>0.625</v>
      </c>
      <c r="U99" s="23">
        <f t="shared" ref="U99:V99" si="101">(H99+J99+L99+N99)/4</f>
        <v>0.625</v>
      </c>
      <c r="V99" s="23">
        <f t="shared" si="101"/>
        <v>1</v>
      </c>
    </row>
    <row r="100">
      <c r="A100" s="3" t="s">
        <v>223</v>
      </c>
      <c r="B100" s="3" t="s">
        <v>343</v>
      </c>
      <c r="C100" s="3" t="s">
        <v>235</v>
      </c>
      <c r="D100" s="29" t="s">
        <v>485</v>
      </c>
      <c r="E100" s="30" t="s">
        <v>541</v>
      </c>
      <c r="F100" s="30" t="s">
        <v>487</v>
      </c>
      <c r="G100" s="31" t="s">
        <v>33</v>
      </c>
      <c r="H100" s="13">
        <v>1.0</v>
      </c>
      <c r="I100" s="13">
        <v>1.0</v>
      </c>
      <c r="J100" s="13">
        <v>1.0</v>
      </c>
      <c r="K100" s="13">
        <v>1.0</v>
      </c>
      <c r="L100" s="13">
        <v>1.0</v>
      </c>
      <c r="M100" s="13">
        <v>1.0</v>
      </c>
      <c r="N100" s="13">
        <v>1.0</v>
      </c>
      <c r="O100" s="13">
        <v>1.0</v>
      </c>
      <c r="P100" s="15">
        <f t="shared" si="5"/>
        <v>1</v>
      </c>
      <c r="U100" s="23">
        <f t="shared" ref="U100:V100" si="102">(H100+J100+L100+N100)/4</f>
        <v>1</v>
      </c>
      <c r="V100" s="23">
        <f t="shared" si="102"/>
        <v>1</v>
      </c>
    </row>
    <row r="101">
      <c r="A101" s="3" t="s">
        <v>227</v>
      </c>
      <c r="B101" s="3" t="s">
        <v>343</v>
      </c>
      <c r="C101" s="3" t="s">
        <v>235</v>
      </c>
      <c r="D101" s="29" t="s">
        <v>488</v>
      </c>
      <c r="E101" s="30" t="s">
        <v>542</v>
      </c>
      <c r="F101" s="30" t="s">
        <v>490</v>
      </c>
      <c r="G101" s="31" t="s">
        <v>33</v>
      </c>
      <c r="H101" s="13">
        <v>1.0</v>
      </c>
      <c r="I101" s="13">
        <v>1.0</v>
      </c>
      <c r="J101" s="13">
        <v>1.0</v>
      </c>
      <c r="K101" s="13">
        <v>1.0</v>
      </c>
      <c r="L101" s="13">
        <v>0.5</v>
      </c>
      <c r="M101" s="13">
        <v>1.0</v>
      </c>
      <c r="N101" s="13">
        <v>1.0</v>
      </c>
      <c r="O101" s="13">
        <v>1.0</v>
      </c>
      <c r="P101" s="15">
        <f t="shared" si="5"/>
        <v>0.875</v>
      </c>
      <c r="U101" s="23">
        <f t="shared" ref="U101:V101" si="103">(H101+J101+L101+N101)/4</f>
        <v>0.875</v>
      </c>
      <c r="V101" s="23">
        <f t="shared" si="103"/>
        <v>1</v>
      </c>
    </row>
    <row r="102">
      <c r="A102" s="3" t="s">
        <v>231</v>
      </c>
      <c r="B102" s="3" t="s">
        <v>343</v>
      </c>
      <c r="C102" s="3" t="s">
        <v>235</v>
      </c>
      <c r="D102" s="29" t="s">
        <v>491</v>
      </c>
      <c r="E102" s="30" t="s">
        <v>543</v>
      </c>
      <c r="G102" s="31" t="s">
        <v>33</v>
      </c>
      <c r="H102" s="13">
        <v>1.0</v>
      </c>
      <c r="I102" s="13">
        <v>1.0</v>
      </c>
      <c r="J102" s="13">
        <v>1.0</v>
      </c>
      <c r="K102" s="13">
        <v>1.0</v>
      </c>
      <c r="L102" s="13">
        <v>1.0</v>
      </c>
      <c r="M102" s="13">
        <v>1.0</v>
      </c>
      <c r="N102" s="13">
        <v>1.0</v>
      </c>
      <c r="O102" s="13">
        <v>1.0</v>
      </c>
      <c r="P102" s="15">
        <f t="shared" si="5"/>
        <v>1</v>
      </c>
      <c r="U102" s="23">
        <f t="shared" ref="U102:V102" si="104">(H102+J102+L102+N102)/4</f>
        <v>1</v>
      </c>
      <c r="V102" s="23">
        <f t="shared" si="104"/>
        <v>1</v>
      </c>
    </row>
    <row r="103">
      <c r="A103" s="3" t="s">
        <v>27</v>
      </c>
      <c r="B103" s="3" t="s">
        <v>343</v>
      </c>
      <c r="C103" s="3" t="s">
        <v>286</v>
      </c>
      <c r="D103" s="29" t="s">
        <v>344</v>
      </c>
      <c r="E103" s="30" t="s">
        <v>544</v>
      </c>
      <c r="F103" s="29" t="s">
        <v>493</v>
      </c>
      <c r="G103" s="31" t="s">
        <v>33</v>
      </c>
      <c r="H103" s="13">
        <v>1.0</v>
      </c>
      <c r="I103" s="13">
        <v>1.0</v>
      </c>
      <c r="J103" s="13">
        <v>1.0</v>
      </c>
      <c r="K103" s="13">
        <v>1.0</v>
      </c>
      <c r="L103" s="13">
        <v>1.0</v>
      </c>
      <c r="M103" s="13">
        <v>1.0</v>
      </c>
      <c r="N103" s="13">
        <v>1.0</v>
      </c>
      <c r="O103" s="13">
        <v>1.0</v>
      </c>
      <c r="P103" s="15">
        <f t="shared" si="5"/>
        <v>1</v>
      </c>
      <c r="U103" s="23">
        <f t="shared" ref="U103:V103" si="105">(H103+J103+L103+N103)/4</f>
        <v>1</v>
      </c>
      <c r="V103" s="23">
        <f t="shared" si="105"/>
        <v>1</v>
      </c>
    </row>
    <row r="104">
      <c r="A104" s="3" t="s">
        <v>35</v>
      </c>
      <c r="B104" s="3" t="s">
        <v>343</v>
      </c>
      <c r="C104" s="3" t="s">
        <v>286</v>
      </c>
      <c r="D104" s="29" t="s">
        <v>347</v>
      </c>
      <c r="E104" s="30" t="s">
        <v>545</v>
      </c>
      <c r="F104" s="29" t="s">
        <v>346</v>
      </c>
      <c r="G104" s="31" t="s">
        <v>33</v>
      </c>
      <c r="H104" s="13">
        <v>1.0</v>
      </c>
      <c r="I104" s="13">
        <v>1.0</v>
      </c>
      <c r="J104" s="13">
        <v>1.0</v>
      </c>
      <c r="K104" s="13">
        <v>1.0</v>
      </c>
      <c r="L104" s="13">
        <v>1.0</v>
      </c>
      <c r="M104" s="13">
        <v>1.0</v>
      </c>
      <c r="N104" s="13">
        <v>1.0</v>
      </c>
      <c r="O104" s="13">
        <v>1.0</v>
      </c>
      <c r="P104" s="15">
        <f t="shared" si="5"/>
        <v>1</v>
      </c>
      <c r="U104" s="23">
        <f t="shared" ref="U104:V104" si="106">(H104+J104+L104+N104)/4</f>
        <v>1</v>
      </c>
      <c r="V104" s="23">
        <f t="shared" si="106"/>
        <v>1</v>
      </c>
    </row>
    <row r="105">
      <c r="A105" s="3" t="s">
        <v>41</v>
      </c>
      <c r="B105" s="3" t="s">
        <v>343</v>
      </c>
      <c r="C105" s="3" t="s">
        <v>286</v>
      </c>
      <c r="D105" s="29" t="s">
        <v>350</v>
      </c>
      <c r="E105" s="30" t="s">
        <v>546</v>
      </c>
      <c r="F105" s="29" t="s">
        <v>349</v>
      </c>
      <c r="G105" s="31" t="s">
        <v>33</v>
      </c>
      <c r="H105" s="13">
        <v>1.0</v>
      </c>
      <c r="I105" s="13">
        <v>1.0</v>
      </c>
      <c r="J105" s="13">
        <v>1.0</v>
      </c>
      <c r="K105" s="13">
        <v>1.0</v>
      </c>
      <c r="L105" s="13">
        <v>1.0</v>
      </c>
      <c r="M105" s="13">
        <v>1.0</v>
      </c>
      <c r="N105" s="13">
        <v>1.0</v>
      </c>
      <c r="O105" s="13">
        <v>1.0</v>
      </c>
      <c r="P105" s="15">
        <f t="shared" si="5"/>
        <v>1</v>
      </c>
      <c r="U105" s="23">
        <f t="shared" ref="U105:V105" si="107">(H105+J105+L105+N105)/4</f>
        <v>1</v>
      </c>
      <c r="V105" s="23">
        <f t="shared" si="107"/>
        <v>1</v>
      </c>
    </row>
    <row r="106">
      <c r="A106" s="3" t="s">
        <v>46</v>
      </c>
      <c r="B106" s="3" t="s">
        <v>343</v>
      </c>
      <c r="C106" s="3" t="s">
        <v>286</v>
      </c>
      <c r="D106" s="29" t="s">
        <v>353</v>
      </c>
      <c r="E106" s="30" t="s">
        <v>547</v>
      </c>
      <c r="F106" s="29" t="s">
        <v>352</v>
      </c>
      <c r="G106" s="31" t="s">
        <v>33</v>
      </c>
      <c r="H106" s="13">
        <v>1.0</v>
      </c>
      <c r="I106" s="13">
        <v>1.0</v>
      </c>
      <c r="J106" s="13">
        <v>1.0</v>
      </c>
      <c r="K106" s="13">
        <v>1.0</v>
      </c>
      <c r="L106" s="13">
        <v>1.0</v>
      </c>
      <c r="M106" s="13">
        <v>1.0</v>
      </c>
      <c r="N106" s="13">
        <v>1.0</v>
      </c>
      <c r="O106" s="13">
        <v>1.0</v>
      </c>
      <c r="P106" s="15">
        <f t="shared" si="5"/>
        <v>1</v>
      </c>
      <c r="U106" s="23">
        <f t="shared" ref="U106:V106" si="108">(H106+J106+L106+N106)/4</f>
        <v>1</v>
      </c>
      <c r="V106" s="23">
        <f t="shared" si="108"/>
        <v>1</v>
      </c>
    </row>
    <row r="107">
      <c r="A107" s="3" t="s">
        <v>50</v>
      </c>
      <c r="B107" s="3" t="s">
        <v>343</v>
      </c>
      <c r="C107" s="3" t="s">
        <v>286</v>
      </c>
      <c r="D107" s="29" t="s">
        <v>356</v>
      </c>
      <c r="E107" s="30" t="s">
        <v>548</v>
      </c>
      <c r="F107" s="29" t="s">
        <v>355</v>
      </c>
      <c r="G107" s="31" t="s">
        <v>33</v>
      </c>
      <c r="H107" s="13">
        <v>1.0</v>
      </c>
      <c r="I107" s="13">
        <v>1.0</v>
      </c>
      <c r="J107" s="13">
        <v>1.0</v>
      </c>
      <c r="K107" s="13">
        <v>1.0</v>
      </c>
      <c r="L107" s="13">
        <v>1.0</v>
      </c>
      <c r="M107" s="13">
        <v>1.0</v>
      </c>
      <c r="N107" s="13">
        <v>1.0</v>
      </c>
      <c r="O107" s="13">
        <v>1.0</v>
      </c>
      <c r="P107" s="15">
        <f t="shared" si="5"/>
        <v>1</v>
      </c>
      <c r="U107" s="23">
        <f t="shared" ref="U107:V107" si="109">(H107+J107+L107+N107)/4</f>
        <v>1</v>
      </c>
      <c r="V107" s="23">
        <f t="shared" si="109"/>
        <v>1</v>
      </c>
    </row>
    <row r="108">
      <c r="A108" s="3" t="s">
        <v>54</v>
      </c>
      <c r="B108" s="3" t="s">
        <v>343</v>
      </c>
      <c r="C108" s="3" t="s">
        <v>286</v>
      </c>
      <c r="D108" s="29" t="s">
        <v>359</v>
      </c>
      <c r="E108" s="30" t="s">
        <v>549</v>
      </c>
      <c r="F108" s="29" t="s">
        <v>358</v>
      </c>
      <c r="G108" s="31" t="s">
        <v>33</v>
      </c>
      <c r="H108" s="13">
        <v>1.0</v>
      </c>
      <c r="I108" s="13">
        <v>1.0</v>
      </c>
      <c r="J108" s="13">
        <v>1.0</v>
      </c>
      <c r="K108" s="13">
        <v>1.0</v>
      </c>
      <c r="L108" s="13">
        <v>1.0</v>
      </c>
      <c r="M108" s="13">
        <v>1.0</v>
      </c>
      <c r="N108" s="13">
        <v>1.0</v>
      </c>
      <c r="O108" s="13">
        <v>1.0</v>
      </c>
      <c r="P108" s="15">
        <f t="shared" si="5"/>
        <v>1</v>
      </c>
      <c r="U108" s="23">
        <f t="shared" ref="U108:V108" si="110">(H108+J108+L108+N108)/4</f>
        <v>1</v>
      </c>
      <c r="V108" s="23">
        <f t="shared" si="110"/>
        <v>1</v>
      </c>
    </row>
    <row r="109">
      <c r="A109" s="3" t="s">
        <v>58</v>
      </c>
      <c r="B109" s="3" t="s">
        <v>343</v>
      </c>
      <c r="C109" s="3" t="s">
        <v>286</v>
      </c>
      <c r="D109" s="29" t="s">
        <v>362</v>
      </c>
      <c r="E109" s="30" t="s">
        <v>550</v>
      </c>
      <c r="F109" s="29" t="s">
        <v>361</v>
      </c>
      <c r="G109" s="31" t="s">
        <v>33</v>
      </c>
      <c r="H109" s="13">
        <v>1.0</v>
      </c>
      <c r="I109" s="13">
        <v>1.0</v>
      </c>
      <c r="J109" s="13">
        <v>1.0</v>
      </c>
      <c r="K109" s="13">
        <v>1.0</v>
      </c>
      <c r="L109" s="13">
        <v>1.0</v>
      </c>
      <c r="M109" s="13">
        <v>1.0</v>
      </c>
      <c r="N109" s="13">
        <v>1.0</v>
      </c>
      <c r="O109" s="13">
        <v>1.0</v>
      </c>
      <c r="P109" s="15">
        <f t="shared" si="5"/>
        <v>1</v>
      </c>
      <c r="U109" s="23">
        <f t="shared" ref="U109:V109" si="111">(H109+J109+L109+N109)/4</f>
        <v>1</v>
      </c>
      <c r="V109" s="23">
        <f t="shared" si="111"/>
        <v>1</v>
      </c>
    </row>
    <row r="110">
      <c r="A110" s="3" t="s">
        <v>62</v>
      </c>
      <c r="B110" s="3" t="s">
        <v>343</v>
      </c>
      <c r="C110" s="3" t="s">
        <v>286</v>
      </c>
      <c r="D110" s="29" t="s">
        <v>365</v>
      </c>
      <c r="E110" s="30" t="s">
        <v>551</v>
      </c>
      <c r="F110" s="29" t="s">
        <v>364</v>
      </c>
      <c r="G110" s="31" t="s">
        <v>33</v>
      </c>
      <c r="H110" s="13">
        <v>1.0</v>
      </c>
      <c r="I110" s="13">
        <v>1.0</v>
      </c>
      <c r="J110" s="13">
        <v>1.0</v>
      </c>
      <c r="K110" s="13">
        <v>1.0</v>
      </c>
      <c r="L110" s="13">
        <v>1.0</v>
      </c>
      <c r="M110" s="13">
        <v>1.0</v>
      </c>
      <c r="N110" s="13">
        <v>1.0</v>
      </c>
      <c r="O110" s="13">
        <v>1.0</v>
      </c>
      <c r="P110" s="15">
        <f t="shared" si="5"/>
        <v>1</v>
      </c>
      <c r="U110" s="23">
        <f t="shared" ref="U110:V110" si="112">(H110+J110+L110+N110)/4</f>
        <v>1</v>
      </c>
      <c r="V110" s="23">
        <f t="shared" si="112"/>
        <v>1</v>
      </c>
    </row>
    <row r="111">
      <c r="A111" s="3" t="s">
        <v>67</v>
      </c>
      <c r="B111" s="3" t="s">
        <v>343</v>
      </c>
      <c r="C111" s="3" t="s">
        <v>286</v>
      </c>
      <c r="D111" s="29" t="s">
        <v>368</v>
      </c>
      <c r="E111" s="30" t="s">
        <v>552</v>
      </c>
      <c r="F111" s="29" t="s">
        <v>367</v>
      </c>
      <c r="G111" s="31" t="s">
        <v>33</v>
      </c>
      <c r="H111" s="13">
        <v>1.0</v>
      </c>
      <c r="I111" s="13">
        <v>1.0</v>
      </c>
      <c r="J111" s="13">
        <v>1.0</v>
      </c>
      <c r="K111" s="13">
        <v>1.0</v>
      </c>
      <c r="L111" s="13">
        <v>1.0</v>
      </c>
      <c r="M111" s="13">
        <v>1.0</v>
      </c>
      <c r="N111" s="13">
        <v>1.0</v>
      </c>
      <c r="O111" s="13">
        <v>1.0</v>
      </c>
      <c r="P111" s="15">
        <f t="shared" si="5"/>
        <v>1</v>
      </c>
      <c r="U111" s="23">
        <f t="shared" ref="U111:V111" si="113">(H111+J111+L111+N111)/4</f>
        <v>1</v>
      </c>
      <c r="V111" s="23">
        <f t="shared" si="113"/>
        <v>1</v>
      </c>
    </row>
    <row r="112">
      <c r="A112" s="3" t="s">
        <v>71</v>
      </c>
      <c r="B112" s="3" t="s">
        <v>343</v>
      </c>
      <c r="C112" s="3" t="s">
        <v>286</v>
      </c>
      <c r="D112" s="29" t="s">
        <v>371</v>
      </c>
      <c r="E112" s="30" t="s">
        <v>553</v>
      </c>
      <c r="F112" s="29" t="s">
        <v>370</v>
      </c>
      <c r="G112" s="31" t="s">
        <v>33</v>
      </c>
      <c r="H112" s="13">
        <v>1.0</v>
      </c>
      <c r="I112" s="13">
        <v>1.0</v>
      </c>
      <c r="J112" s="13">
        <v>1.0</v>
      </c>
      <c r="K112" s="13">
        <v>1.0</v>
      </c>
      <c r="L112" s="13">
        <v>1.0</v>
      </c>
      <c r="M112" s="13">
        <v>1.0</v>
      </c>
      <c r="N112" s="13">
        <v>1.0</v>
      </c>
      <c r="O112" s="13">
        <v>1.0</v>
      </c>
      <c r="P112" s="15">
        <f t="shared" si="5"/>
        <v>1</v>
      </c>
      <c r="U112" s="23">
        <f t="shared" ref="U112:V112" si="114">(H112+J112+L112+N112)/4</f>
        <v>1</v>
      </c>
      <c r="V112" s="23">
        <f t="shared" si="114"/>
        <v>1</v>
      </c>
    </row>
    <row r="113">
      <c r="A113" s="3" t="s">
        <v>75</v>
      </c>
      <c r="B113" s="3" t="s">
        <v>343</v>
      </c>
      <c r="C113" s="3" t="s">
        <v>286</v>
      </c>
      <c r="D113" s="29" t="s">
        <v>374</v>
      </c>
      <c r="E113" s="30" t="s">
        <v>554</v>
      </c>
      <c r="F113" s="29" t="s">
        <v>373</v>
      </c>
      <c r="G113" s="31" t="s">
        <v>33</v>
      </c>
      <c r="H113" s="13">
        <v>1.0</v>
      </c>
      <c r="I113" s="13">
        <v>1.0</v>
      </c>
      <c r="J113" s="13">
        <v>1.0</v>
      </c>
      <c r="K113" s="13">
        <v>1.0</v>
      </c>
      <c r="L113" s="13">
        <v>1.0</v>
      </c>
      <c r="M113" s="13">
        <v>1.0</v>
      </c>
      <c r="N113" s="13">
        <v>1.0</v>
      </c>
      <c r="O113" s="13">
        <v>1.0</v>
      </c>
      <c r="P113" s="15">
        <f t="shared" si="5"/>
        <v>1</v>
      </c>
      <c r="U113" s="23">
        <f t="shared" ref="U113:V113" si="115">(H113+J113+L113+N113)/4</f>
        <v>1</v>
      </c>
      <c r="V113" s="23">
        <f t="shared" si="115"/>
        <v>1</v>
      </c>
    </row>
    <row r="114">
      <c r="A114" s="3" t="s">
        <v>79</v>
      </c>
      <c r="B114" s="3" t="s">
        <v>343</v>
      </c>
      <c r="C114" s="3" t="s">
        <v>286</v>
      </c>
      <c r="D114" s="29" t="s">
        <v>377</v>
      </c>
      <c r="E114" s="30" t="s">
        <v>555</v>
      </c>
      <c r="F114" s="29" t="s">
        <v>376</v>
      </c>
      <c r="G114" s="31" t="s">
        <v>33</v>
      </c>
      <c r="H114" s="13">
        <v>1.0</v>
      </c>
      <c r="I114" s="13">
        <v>1.0</v>
      </c>
      <c r="J114" s="13">
        <v>0.5</v>
      </c>
      <c r="K114" s="13">
        <v>1.0</v>
      </c>
      <c r="L114" s="13">
        <v>1.0</v>
      </c>
      <c r="M114" s="13">
        <v>1.0</v>
      </c>
      <c r="N114" s="13">
        <v>1.0</v>
      </c>
      <c r="O114" s="13">
        <v>1.0</v>
      </c>
      <c r="P114" s="15">
        <f t="shared" si="5"/>
        <v>0.875</v>
      </c>
      <c r="U114" s="23">
        <f t="shared" ref="U114:V114" si="116">(H114+J114+L114+N114)/4</f>
        <v>0.875</v>
      </c>
      <c r="V114" s="23">
        <f t="shared" si="116"/>
        <v>1</v>
      </c>
    </row>
    <row r="115">
      <c r="A115" s="3" t="s">
        <v>83</v>
      </c>
      <c r="B115" s="3" t="s">
        <v>343</v>
      </c>
      <c r="C115" s="3" t="s">
        <v>286</v>
      </c>
      <c r="D115" s="29" t="s">
        <v>380</v>
      </c>
      <c r="E115" s="30" t="s">
        <v>556</v>
      </c>
      <c r="F115" s="29" t="s">
        <v>379</v>
      </c>
      <c r="G115" s="31" t="s">
        <v>33</v>
      </c>
      <c r="H115" s="13">
        <v>1.0</v>
      </c>
      <c r="I115" s="13">
        <v>1.0</v>
      </c>
      <c r="J115" s="13">
        <v>1.0</v>
      </c>
      <c r="K115" s="13">
        <v>1.0</v>
      </c>
      <c r="L115" s="13">
        <v>1.0</v>
      </c>
      <c r="M115" s="13">
        <v>1.0</v>
      </c>
      <c r="N115" s="13">
        <v>1.0</v>
      </c>
      <c r="O115" s="13">
        <v>1.0</v>
      </c>
      <c r="P115" s="15">
        <f t="shared" si="5"/>
        <v>1</v>
      </c>
      <c r="U115" s="23">
        <f t="shared" ref="U115:V115" si="117">(H115+J115+L115+N115)/4</f>
        <v>1</v>
      </c>
      <c r="V115" s="23">
        <f t="shared" si="117"/>
        <v>1</v>
      </c>
    </row>
    <row r="116">
      <c r="A116" s="3" t="s">
        <v>87</v>
      </c>
      <c r="B116" s="3" t="s">
        <v>343</v>
      </c>
      <c r="C116" s="3" t="s">
        <v>286</v>
      </c>
      <c r="D116" s="29" t="s">
        <v>383</v>
      </c>
      <c r="E116" s="30" t="s">
        <v>557</v>
      </c>
      <c r="F116" s="29" t="s">
        <v>382</v>
      </c>
      <c r="G116" s="31" t="s">
        <v>33</v>
      </c>
      <c r="H116" s="13">
        <v>1.0</v>
      </c>
      <c r="I116" s="13">
        <v>1.0</v>
      </c>
      <c r="J116" s="13">
        <v>1.0</v>
      </c>
      <c r="K116" s="13">
        <v>1.0</v>
      </c>
      <c r="L116" s="13">
        <v>1.0</v>
      </c>
      <c r="M116" s="13">
        <v>1.0</v>
      </c>
      <c r="N116" s="13">
        <v>1.0</v>
      </c>
      <c r="O116" s="13">
        <v>1.0</v>
      </c>
      <c r="P116" s="15">
        <f t="shared" si="5"/>
        <v>1</v>
      </c>
      <c r="U116" s="23">
        <f t="shared" ref="U116:V116" si="118">(H116+J116+L116+N116)/4</f>
        <v>1</v>
      </c>
      <c r="V116" s="23">
        <f t="shared" si="118"/>
        <v>1</v>
      </c>
    </row>
    <row r="117">
      <c r="A117" s="3" t="s">
        <v>91</v>
      </c>
      <c r="B117" s="3" t="s">
        <v>343</v>
      </c>
      <c r="C117" s="3" t="s">
        <v>286</v>
      </c>
      <c r="D117" s="29" t="s">
        <v>386</v>
      </c>
      <c r="E117" s="30" t="s">
        <v>558</v>
      </c>
      <c r="F117" s="29" t="s">
        <v>385</v>
      </c>
      <c r="G117" s="31" t="s">
        <v>33</v>
      </c>
      <c r="H117" s="13">
        <v>1.0</v>
      </c>
      <c r="I117" s="13">
        <v>1.0</v>
      </c>
      <c r="J117" s="13">
        <v>1.0</v>
      </c>
      <c r="K117" s="13">
        <v>1.0</v>
      </c>
      <c r="L117" s="13">
        <v>1.0</v>
      </c>
      <c r="M117" s="13">
        <v>1.0</v>
      </c>
      <c r="N117" s="13">
        <v>1.0</v>
      </c>
      <c r="O117" s="13">
        <v>1.0</v>
      </c>
      <c r="P117" s="15">
        <f t="shared" si="5"/>
        <v>1</v>
      </c>
      <c r="U117" s="23">
        <f t="shared" ref="U117:V117" si="119">(H117+J117+L117+N117)/4</f>
        <v>1</v>
      </c>
      <c r="V117" s="23">
        <f t="shared" si="119"/>
        <v>1</v>
      </c>
    </row>
    <row r="118">
      <c r="A118" s="3" t="s">
        <v>95</v>
      </c>
      <c r="B118" s="3" t="s">
        <v>343</v>
      </c>
      <c r="C118" s="3" t="s">
        <v>286</v>
      </c>
      <c r="D118" s="29" t="s">
        <v>389</v>
      </c>
      <c r="E118" s="30" t="s">
        <v>559</v>
      </c>
      <c r="F118" s="29" t="s">
        <v>388</v>
      </c>
      <c r="G118" s="31" t="s">
        <v>33</v>
      </c>
      <c r="H118" s="13">
        <v>1.0</v>
      </c>
      <c r="I118" s="13">
        <v>1.0</v>
      </c>
      <c r="J118" s="13">
        <v>1.0</v>
      </c>
      <c r="K118" s="13">
        <v>1.0</v>
      </c>
      <c r="L118" s="13">
        <v>1.0</v>
      </c>
      <c r="M118" s="13">
        <v>1.0</v>
      </c>
      <c r="N118" s="13">
        <v>1.0</v>
      </c>
      <c r="O118" s="13">
        <v>1.0</v>
      </c>
      <c r="P118" s="15">
        <f t="shared" si="5"/>
        <v>1</v>
      </c>
      <c r="U118" s="23">
        <f t="shared" ref="U118:V118" si="120">(H118+J118+L118+N118)/4</f>
        <v>1</v>
      </c>
      <c r="V118" s="23">
        <f t="shared" si="120"/>
        <v>1</v>
      </c>
    </row>
    <row r="119">
      <c r="A119" s="3" t="s">
        <v>99</v>
      </c>
      <c r="B119" s="3" t="s">
        <v>343</v>
      </c>
      <c r="C119" s="3" t="s">
        <v>286</v>
      </c>
      <c r="D119" s="29" t="s">
        <v>392</v>
      </c>
      <c r="E119" s="30" t="s">
        <v>560</v>
      </c>
      <c r="F119" s="29" t="s">
        <v>391</v>
      </c>
      <c r="G119" s="31" t="s">
        <v>33</v>
      </c>
      <c r="H119" s="13">
        <v>1.0</v>
      </c>
      <c r="I119" s="13">
        <v>1.0</v>
      </c>
      <c r="J119" s="13">
        <v>1.0</v>
      </c>
      <c r="K119" s="13">
        <v>1.0</v>
      </c>
      <c r="L119" s="13">
        <v>1.0</v>
      </c>
      <c r="M119" s="13">
        <v>1.0</v>
      </c>
      <c r="N119" s="13">
        <v>1.0</v>
      </c>
      <c r="O119" s="13">
        <v>1.0</v>
      </c>
      <c r="P119" s="15">
        <f t="shared" si="5"/>
        <v>1</v>
      </c>
      <c r="U119" s="23">
        <f t="shared" ref="U119:V119" si="121">(H119+J119+L119+N119)/4</f>
        <v>1</v>
      </c>
      <c r="V119" s="23">
        <f t="shared" si="121"/>
        <v>1</v>
      </c>
    </row>
    <row r="120">
      <c r="A120" s="3" t="s">
        <v>103</v>
      </c>
      <c r="B120" s="3" t="s">
        <v>343</v>
      </c>
      <c r="C120" s="3" t="s">
        <v>286</v>
      </c>
      <c r="D120" s="29" t="s">
        <v>395</v>
      </c>
      <c r="E120" s="30" t="s">
        <v>561</v>
      </c>
      <c r="F120" s="29" t="s">
        <v>394</v>
      </c>
      <c r="G120" s="31" t="s">
        <v>33</v>
      </c>
      <c r="H120" s="13">
        <v>1.0</v>
      </c>
      <c r="I120" s="13">
        <v>1.0</v>
      </c>
      <c r="J120" s="13">
        <v>1.0</v>
      </c>
      <c r="K120" s="13">
        <v>1.0</v>
      </c>
      <c r="L120" s="13">
        <v>1.0</v>
      </c>
      <c r="M120" s="13">
        <v>1.0</v>
      </c>
      <c r="N120" s="13">
        <v>1.0</v>
      </c>
      <c r="O120" s="13">
        <v>1.0</v>
      </c>
      <c r="P120" s="15">
        <f t="shared" si="5"/>
        <v>1</v>
      </c>
      <c r="U120" s="23">
        <f t="shared" ref="U120:V120" si="122">(H120+J120+L120+N120)/4</f>
        <v>1</v>
      </c>
      <c r="V120" s="23">
        <f t="shared" si="122"/>
        <v>1</v>
      </c>
    </row>
    <row r="121">
      <c r="A121" s="3" t="s">
        <v>107</v>
      </c>
      <c r="B121" s="3" t="s">
        <v>343</v>
      </c>
      <c r="C121" s="3" t="s">
        <v>286</v>
      </c>
      <c r="D121" s="29" t="s">
        <v>398</v>
      </c>
      <c r="E121" s="30" t="s">
        <v>562</v>
      </c>
      <c r="F121" s="29" t="s">
        <v>397</v>
      </c>
      <c r="G121" s="31" t="s">
        <v>33</v>
      </c>
      <c r="H121" s="13">
        <v>1.0</v>
      </c>
      <c r="I121" s="13">
        <v>1.0</v>
      </c>
      <c r="J121" s="13">
        <v>1.0</v>
      </c>
      <c r="K121" s="13">
        <v>1.0</v>
      </c>
      <c r="L121" s="13">
        <v>1.0</v>
      </c>
      <c r="M121" s="13">
        <v>1.0</v>
      </c>
      <c r="N121" s="13">
        <v>1.0</v>
      </c>
      <c r="O121" s="13">
        <v>1.0</v>
      </c>
      <c r="P121" s="15">
        <f t="shared" si="5"/>
        <v>1</v>
      </c>
      <c r="U121" s="23">
        <f t="shared" ref="U121:V121" si="123">(H121+J121+L121+N121)/4</f>
        <v>1</v>
      </c>
      <c r="V121" s="23">
        <f t="shared" si="123"/>
        <v>1</v>
      </c>
    </row>
    <row r="122">
      <c r="A122" s="3" t="s">
        <v>111</v>
      </c>
      <c r="B122" s="3" t="s">
        <v>343</v>
      </c>
      <c r="C122" s="3" t="s">
        <v>286</v>
      </c>
      <c r="D122" s="29" t="s">
        <v>401</v>
      </c>
      <c r="E122" s="30" t="s">
        <v>563</v>
      </c>
      <c r="F122" s="29" t="s">
        <v>400</v>
      </c>
      <c r="G122" s="31" t="s">
        <v>39</v>
      </c>
      <c r="H122" s="13">
        <v>1.0</v>
      </c>
      <c r="I122" s="13">
        <v>0.5</v>
      </c>
      <c r="J122" s="13">
        <v>1.0</v>
      </c>
      <c r="K122" s="13">
        <v>1.0</v>
      </c>
      <c r="L122" s="13">
        <v>0.0</v>
      </c>
      <c r="M122" s="13">
        <v>0.0</v>
      </c>
      <c r="N122" s="13">
        <v>0.5</v>
      </c>
      <c r="O122" s="13">
        <v>0.5</v>
      </c>
      <c r="P122" s="15">
        <f t="shared" si="5"/>
        <v>0.875</v>
      </c>
      <c r="U122" s="23">
        <f t="shared" ref="U122:V122" si="124">(H122+J122+L122+N122)/4</f>
        <v>0.625</v>
      </c>
      <c r="V122" s="23">
        <f t="shared" si="124"/>
        <v>0.5</v>
      </c>
    </row>
    <row r="123">
      <c r="A123" s="3" t="s">
        <v>115</v>
      </c>
      <c r="B123" s="3" t="s">
        <v>343</v>
      </c>
      <c r="C123" s="3" t="s">
        <v>286</v>
      </c>
      <c r="D123" s="29" t="s">
        <v>404</v>
      </c>
      <c r="E123" s="30" t="s">
        <v>564</v>
      </c>
      <c r="F123" s="29" t="s">
        <v>403</v>
      </c>
      <c r="G123" s="31" t="s">
        <v>33</v>
      </c>
      <c r="H123" s="13">
        <v>1.0</v>
      </c>
      <c r="I123" s="13">
        <v>1.0</v>
      </c>
      <c r="J123" s="13">
        <v>1.0</v>
      </c>
      <c r="K123" s="13">
        <v>1.0</v>
      </c>
      <c r="L123" s="13">
        <v>1.0</v>
      </c>
      <c r="M123" s="13">
        <v>1.0</v>
      </c>
      <c r="N123" s="13">
        <v>1.0</v>
      </c>
      <c r="O123" s="13">
        <v>1.0</v>
      </c>
      <c r="P123" s="15">
        <f t="shared" si="5"/>
        <v>1</v>
      </c>
      <c r="U123" s="23">
        <f t="shared" ref="U123:V123" si="125">(H123+J123+L123+N123)/4</f>
        <v>1</v>
      </c>
      <c r="V123" s="23">
        <f t="shared" si="125"/>
        <v>1</v>
      </c>
    </row>
    <row r="124">
      <c r="A124" s="3" t="s">
        <v>119</v>
      </c>
      <c r="B124" s="3" t="s">
        <v>343</v>
      </c>
      <c r="C124" s="3" t="s">
        <v>286</v>
      </c>
      <c r="D124" s="29" t="s">
        <v>407</v>
      </c>
      <c r="E124" s="30" t="s">
        <v>565</v>
      </c>
      <c r="F124" s="29" t="s">
        <v>406</v>
      </c>
      <c r="G124" s="31" t="s">
        <v>33</v>
      </c>
      <c r="H124" s="13">
        <v>1.0</v>
      </c>
      <c r="I124" s="13">
        <v>1.0</v>
      </c>
      <c r="J124" s="13">
        <v>1.0</v>
      </c>
      <c r="K124" s="13">
        <v>1.0</v>
      </c>
      <c r="L124" s="13">
        <v>1.0</v>
      </c>
      <c r="M124" s="13">
        <v>1.0</v>
      </c>
      <c r="N124" s="13">
        <v>1.0</v>
      </c>
      <c r="O124" s="13">
        <v>1.0</v>
      </c>
      <c r="P124" s="15">
        <f t="shared" si="5"/>
        <v>1</v>
      </c>
      <c r="U124" s="23">
        <f t="shared" ref="U124:V124" si="126">(H124+J124+L124+N124)/4</f>
        <v>1</v>
      </c>
      <c r="V124" s="23">
        <f t="shared" si="126"/>
        <v>1</v>
      </c>
    </row>
    <row r="125">
      <c r="A125" s="3" t="s">
        <v>123</v>
      </c>
      <c r="B125" s="3" t="s">
        <v>343</v>
      </c>
      <c r="C125" s="3" t="s">
        <v>286</v>
      </c>
      <c r="D125" s="29" t="s">
        <v>410</v>
      </c>
      <c r="E125" s="30" t="s">
        <v>566</v>
      </c>
      <c r="F125" s="29" t="s">
        <v>409</v>
      </c>
      <c r="G125" s="31" t="s">
        <v>33</v>
      </c>
      <c r="H125" s="13">
        <v>1.0</v>
      </c>
      <c r="I125" s="13">
        <v>1.0</v>
      </c>
      <c r="J125" s="13">
        <v>1.0</v>
      </c>
      <c r="K125" s="13">
        <v>1.0</v>
      </c>
      <c r="L125" s="13">
        <v>1.0</v>
      </c>
      <c r="M125" s="13">
        <v>1.0</v>
      </c>
      <c r="N125" s="13">
        <v>1.0</v>
      </c>
      <c r="O125" s="13">
        <v>1.0</v>
      </c>
      <c r="P125" s="15">
        <f t="shared" si="5"/>
        <v>1</v>
      </c>
      <c r="U125" s="23">
        <f t="shared" ref="U125:V125" si="127">(H125+J125+L125+N125)/4</f>
        <v>1</v>
      </c>
      <c r="V125" s="23">
        <f t="shared" si="127"/>
        <v>1</v>
      </c>
    </row>
    <row r="126">
      <c r="A126" s="3" t="s">
        <v>127</v>
      </c>
      <c r="B126" s="3" t="s">
        <v>343</v>
      </c>
      <c r="C126" s="3" t="s">
        <v>286</v>
      </c>
      <c r="D126" s="29" t="s">
        <v>413</v>
      </c>
      <c r="E126" s="30" t="s">
        <v>567</v>
      </c>
      <c r="F126" s="29" t="s">
        <v>412</v>
      </c>
      <c r="G126" s="31" t="s">
        <v>33</v>
      </c>
      <c r="H126" s="13">
        <v>1.0</v>
      </c>
      <c r="I126" s="13">
        <v>1.0</v>
      </c>
      <c r="J126" s="13">
        <v>1.0</v>
      </c>
      <c r="K126" s="13">
        <v>1.0</v>
      </c>
      <c r="L126" s="13">
        <v>1.0</v>
      </c>
      <c r="M126" s="13">
        <v>1.0</v>
      </c>
      <c r="N126" s="13">
        <v>1.0</v>
      </c>
      <c r="O126" s="13">
        <v>1.0</v>
      </c>
      <c r="P126" s="15">
        <f t="shared" si="5"/>
        <v>1</v>
      </c>
      <c r="U126" s="23">
        <f t="shared" ref="U126:V126" si="128">(H126+J126+L126+N126)/4</f>
        <v>1</v>
      </c>
      <c r="V126" s="23">
        <f t="shared" si="128"/>
        <v>1</v>
      </c>
    </row>
    <row r="127">
      <c r="A127" s="3" t="s">
        <v>131</v>
      </c>
      <c r="B127" s="3" t="s">
        <v>343</v>
      </c>
      <c r="C127" s="3" t="s">
        <v>286</v>
      </c>
      <c r="D127" s="29" t="s">
        <v>416</v>
      </c>
      <c r="E127" s="30" t="s">
        <v>568</v>
      </c>
      <c r="F127" s="29" t="s">
        <v>415</v>
      </c>
      <c r="G127" s="31" t="s">
        <v>33</v>
      </c>
      <c r="H127" s="13">
        <v>1.0</v>
      </c>
      <c r="I127" s="13">
        <v>1.0</v>
      </c>
      <c r="J127" s="13">
        <v>1.0</v>
      </c>
      <c r="K127" s="13">
        <v>1.0</v>
      </c>
      <c r="L127" s="13">
        <v>1.0</v>
      </c>
      <c r="M127" s="13">
        <v>1.0</v>
      </c>
      <c r="N127" s="13">
        <v>1.0</v>
      </c>
      <c r="O127" s="13">
        <v>1.0</v>
      </c>
      <c r="P127" s="15">
        <f t="shared" si="5"/>
        <v>1</v>
      </c>
      <c r="U127" s="23">
        <f t="shared" ref="U127:V127" si="129">(H127+J127+L127+N127)/4</f>
        <v>1</v>
      </c>
      <c r="V127" s="23">
        <f t="shared" si="129"/>
        <v>1</v>
      </c>
    </row>
    <row r="128">
      <c r="A128" s="3" t="s">
        <v>135</v>
      </c>
      <c r="B128" s="3" t="s">
        <v>343</v>
      </c>
      <c r="C128" s="3" t="s">
        <v>286</v>
      </c>
      <c r="D128" s="29" t="s">
        <v>419</v>
      </c>
      <c r="E128" s="30" t="s">
        <v>569</v>
      </c>
      <c r="F128" s="29" t="s">
        <v>418</v>
      </c>
      <c r="G128" s="31" t="s">
        <v>33</v>
      </c>
      <c r="H128" s="13">
        <v>1.0</v>
      </c>
      <c r="I128" s="13">
        <v>1.0</v>
      </c>
      <c r="J128" s="13">
        <v>1.0</v>
      </c>
      <c r="K128" s="13">
        <v>1.0</v>
      </c>
      <c r="L128" s="13">
        <v>1.0</v>
      </c>
      <c r="M128" s="13">
        <v>1.0</v>
      </c>
      <c r="N128" s="13">
        <v>1.0</v>
      </c>
      <c r="O128" s="13">
        <v>1.0</v>
      </c>
      <c r="P128" s="15">
        <f t="shared" si="5"/>
        <v>1</v>
      </c>
      <c r="U128" s="23">
        <f t="shared" ref="U128:V128" si="130">(H128+J128+L128+N128)/4</f>
        <v>1</v>
      </c>
      <c r="V128" s="23">
        <f t="shared" si="130"/>
        <v>1</v>
      </c>
    </row>
    <row r="129">
      <c r="A129" s="3" t="s">
        <v>139</v>
      </c>
      <c r="B129" s="3" t="s">
        <v>343</v>
      </c>
      <c r="C129" s="3" t="s">
        <v>286</v>
      </c>
      <c r="D129" s="29" t="s">
        <v>422</v>
      </c>
      <c r="E129" s="30" t="s">
        <v>570</v>
      </c>
      <c r="F129" s="29" t="s">
        <v>421</v>
      </c>
      <c r="G129" s="31" t="s">
        <v>39</v>
      </c>
      <c r="H129" s="13">
        <v>0.5</v>
      </c>
      <c r="I129" s="13">
        <v>0.5</v>
      </c>
      <c r="J129" s="13">
        <v>1.0</v>
      </c>
      <c r="K129" s="13">
        <v>1.0</v>
      </c>
      <c r="L129" s="13">
        <v>0.0</v>
      </c>
      <c r="M129" s="13">
        <v>0.0</v>
      </c>
      <c r="N129" s="13">
        <v>0.5</v>
      </c>
      <c r="O129" s="13">
        <v>0.5</v>
      </c>
      <c r="P129" s="15">
        <f t="shared" si="5"/>
        <v>1</v>
      </c>
      <c r="U129" s="23">
        <f t="shared" ref="U129:V129" si="131">(H129+J129+L129+N129)/4</f>
        <v>0.5</v>
      </c>
      <c r="V129" s="23">
        <f t="shared" si="131"/>
        <v>0.5</v>
      </c>
    </row>
    <row r="130">
      <c r="A130" s="3" t="s">
        <v>143</v>
      </c>
      <c r="B130" s="3" t="s">
        <v>343</v>
      </c>
      <c r="C130" s="3" t="s">
        <v>286</v>
      </c>
      <c r="D130" s="29" t="s">
        <v>425</v>
      </c>
      <c r="E130" s="30" t="s">
        <v>571</v>
      </c>
      <c r="F130" s="29" t="s">
        <v>424</v>
      </c>
      <c r="G130" s="31" t="s">
        <v>33</v>
      </c>
      <c r="H130" s="13">
        <v>1.0</v>
      </c>
      <c r="I130" s="13">
        <v>1.0</v>
      </c>
      <c r="J130" s="13">
        <v>0.5</v>
      </c>
      <c r="K130" s="13">
        <v>1.0</v>
      </c>
      <c r="L130" s="13">
        <v>1.0</v>
      </c>
      <c r="M130" s="13">
        <v>1.0</v>
      </c>
      <c r="N130" s="13">
        <v>1.0</v>
      </c>
      <c r="O130" s="13">
        <v>1.0</v>
      </c>
      <c r="P130" s="15">
        <f t="shared" si="5"/>
        <v>0.875</v>
      </c>
      <c r="U130" s="23">
        <f t="shared" ref="U130:V130" si="132">(H130+J130+L130+N130)/4</f>
        <v>0.875</v>
      </c>
      <c r="V130" s="23">
        <f t="shared" si="132"/>
        <v>1</v>
      </c>
    </row>
    <row r="131">
      <c r="A131" s="3" t="s">
        <v>147</v>
      </c>
      <c r="B131" s="3" t="s">
        <v>343</v>
      </c>
      <c r="C131" s="3" t="s">
        <v>286</v>
      </c>
      <c r="D131" s="29" t="s">
        <v>428</v>
      </c>
      <c r="E131" s="30" t="s">
        <v>572</v>
      </c>
      <c r="F131" s="29" t="s">
        <v>427</v>
      </c>
      <c r="G131" s="31" t="s">
        <v>33</v>
      </c>
      <c r="H131" s="13">
        <v>1.0</v>
      </c>
      <c r="I131" s="13">
        <v>1.0</v>
      </c>
      <c r="J131" s="13">
        <v>1.0</v>
      </c>
      <c r="K131" s="13">
        <v>1.0</v>
      </c>
      <c r="L131" s="13">
        <v>1.0</v>
      </c>
      <c r="M131" s="13">
        <v>1.0</v>
      </c>
      <c r="N131" s="13">
        <v>1.0</v>
      </c>
      <c r="O131" s="13">
        <v>1.0</v>
      </c>
      <c r="P131" s="15">
        <f t="shared" si="5"/>
        <v>1</v>
      </c>
      <c r="U131" s="23">
        <f t="shared" ref="U131:V131" si="133">(H131+J131+L131+N131)/4</f>
        <v>1</v>
      </c>
      <c r="V131" s="23">
        <f t="shared" si="133"/>
        <v>1</v>
      </c>
    </row>
    <row r="132">
      <c r="A132" s="3" t="s">
        <v>151</v>
      </c>
      <c r="B132" s="3" t="s">
        <v>343</v>
      </c>
      <c r="C132" s="3" t="s">
        <v>286</v>
      </c>
      <c r="D132" s="29" t="s">
        <v>431</v>
      </c>
      <c r="E132" s="30" t="s">
        <v>573</v>
      </c>
      <c r="F132" s="29" t="s">
        <v>430</v>
      </c>
      <c r="G132" s="31" t="s">
        <v>33</v>
      </c>
      <c r="H132" s="13">
        <v>1.0</v>
      </c>
      <c r="I132" s="13">
        <v>1.0</v>
      </c>
      <c r="J132" s="13">
        <v>1.0</v>
      </c>
      <c r="K132" s="13">
        <v>1.0</v>
      </c>
      <c r="L132" s="13">
        <v>1.0</v>
      </c>
      <c r="M132" s="13">
        <v>1.0</v>
      </c>
      <c r="N132" s="13">
        <v>1.0</v>
      </c>
      <c r="O132" s="13">
        <v>1.0</v>
      </c>
      <c r="P132" s="15">
        <f t="shared" si="5"/>
        <v>1</v>
      </c>
      <c r="U132" s="23">
        <f t="shared" ref="U132:V132" si="134">(H132+J132+L132+N132)/4</f>
        <v>1</v>
      </c>
      <c r="V132" s="23">
        <f t="shared" si="134"/>
        <v>1</v>
      </c>
    </row>
    <row r="133">
      <c r="A133" s="3" t="s">
        <v>155</v>
      </c>
      <c r="B133" s="3" t="s">
        <v>343</v>
      </c>
      <c r="C133" s="3" t="s">
        <v>286</v>
      </c>
      <c r="D133" s="29" t="s">
        <v>434</v>
      </c>
      <c r="E133" s="30" t="s">
        <v>574</v>
      </c>
      <c r="F133" s="29" t="s">
        <v>433</v>
      </c>
      <c r="G133" s="31" t="s">
        <v>33</v>
      </c>
      <c r="H133" s="13">
        <v>1.0</v>
      </c>
      <c r="I133" s="13">
        <v>1.0</v>
      </c>
      <c r="J133" s="13">
        <v>1.0</v>
      </c>
      <c r="K133" s="13">
        <v>1.0</v>
      </c>
      <c r="L133" s="13">
        <v>1.0</v>
      </c>
      <c r="M133" s="13">
        <v>1.0</v>
      </c>
      <c r="N133" s="13">
        <v>1.0</v>
      </c>
      <c r="O133" s="13">
        <v>1.0</v>
      </c>
      <c r="P133" s="15">
        <f t="shared" si="5"/>
        <v>1</v>
      </c>
      <c r="U133" s="23">
        <f t="shared" ref="U133:V133" si="135">(H133+J133+L133+N133)/4</f>
        <v>1</v>
      </c>
      <c r="V133" s="23">
        <f t="shared" si="135"/>
        <v>1</v>
      </c>
    </row>
    <row r="134">
      <c r="A134" s="3" t="s">
        <v>159</v>
      </c>
      <c r="B134" s="3" t="s">
        <v>343</v>
      </c>
      <c r="C134" s="3" t="s">
        <v>286</v>
      </c>
      <c r="D134" s="29" t="s">
        <v>437</v>
      </c>
      <c r="E134" s="30" t="s">
        <v>575</v>
      </c>
      <c r="F134" s="29" t="s">
        <v>436</v>
      </c>
      <c r="G134" s="31" t="s">
        <v>33</v>
      </c>
      <c r="H134" s="13">
        <v>1.0</v>
      </c>
      <c r="I134" s="13">
        <v>1.0</v>
      </c>
      <c r="J134" s="13">
        <v>1.0</v>
      </c>
      <c r="K134" s="13">
        <v>1.0</v>
      </c>
      <c r="L134" s="13">
        <v>1.0</v>
      </c>
      <c r="M134" s="13">
        <v>1.0</v>
      </c>
      <c r="N134" s="13">
        <v>1.0</v>
      </c>
      <c r="O134" s="13">
        <v>1.0</v>
      </c>
      <c r="P134" s="15">
        <f t="shared" si="5"/>
        <v>1</v>
      </c>
      <c r="U134" s="23">
        <f t="shared" ref="U134:V134" si="136">(H134+J134+L134+N134)/4</f>
        <v>1</v>
      </c>
      <c r="V134" s="23">
        <f t="shared" si="136"/>
        <v>1</v>
      </c>
    </row>
    <row r="135">
      <c r="A135" s="3" t="s">
        <v>163</v>
      </c>
      <c r="B135" s="3" t="s">
        <v>343</v>
      </c>
      <c r="C135" s="3" t="s">
        <v>286</v>
      </c>
      <c r="D135" s="29" t="s">
        <v>440</v>
      </c>
      <c r="E135" s="30" t="s">
        <v>576</v>
      </c>
      <c r="F135" s="29" t="s">
        <v>439</v>
      </c>
      <c r="G135" s="31" t="s">
        <v>33</v>
      </c>
      <c r="H135" s="13">
        <v>1.0</v>
      </c>
      <c r="I135" s="13">
        <v>1.0</v>
      </c>
      <c r="J135" s="13">
        <v>1.0</v>
      </c>
      <c r="K135" s="13">
        <v>1.0</v>
      </c>
      <c r="L135" s="13">
        <v>1.0</v>
      </c>
      <c r="M135" s="13">
        <v>1.0</v>
      </c>
      <c r="N135" s="13">
        <v>1.0</v>
      </c>
      <c r="O135" s="13">
        <v>1.0</v>
      </c>
      <c r="P135" s="15">
        <f t="shared" si="5"/>
        <v>1</v>
      </c>
      <c r="U135" s="23">
        <f t="shared" ref="U135:V135" si="137">(H135+J135+L135+N135)/4</f>
        <v>1</v>
      </c>
      <c r="V135" s="23">
        <f t="shared" si="137"/>
        <v>1</v>
      </c>
    </row>
    <row r="136">
      <c r="A136" s="3" t="s">
        <v>167</v>
      </c>
      <c r="B136" s="3" t="s">
        <v>343</v>
      </c>
      <c r="C136" s="3" t="s">
        <v>286</v>
      </c>
      <c r="D136" s="29" t="s">
        <v>443</v>
      </c>
      <c r="E136" s="30" t="s">
        <v>577</v>
      </c>
      <c r="F136" s="29" t="s">
        <v>442</v>
      </c>
      <c r="G136" s="31" t="s">
        <v>33</v>
      </c>
      <c r="H136" s="13">
        <v>1.0</v>
      </c>
      <c r="I136" s="13">
        <v>1.0</v>
      </c>
      <c r="J136" s="13">
        <v>1.0</v>
      </c>
      <c r="K136" s="13">
        <v>1.0</v>
      </c>
      <c r="L136" s="13">
        <v>1.0</v>
      </c>
      <c r="M136" s="13">
        <v>1.0</v>
      </c>
      <c r="N136" s="13">
        <v>1.0</v>
      </c>
      <c r="O136" s="13">
        <v>1.0</v>
      </c>
      <c r="P136" s="15">
        <f t="shared" si="5"/>
        <v>1</v>
      </c>
      <c r="U136" s="23">
        <f t="shared" ref="U136:V136" si="138">(H136+J136+L136+N136)/4</f>
        <v>1</v>
      </c>
      <c r="V136" s="23">
        <f t="shared" si="138"/>
        <v>1</v>
      </c>
    </row>
    <row r="137">
      <c r="A137" s="3" t="s">
        <v>171</v>
      </c>
      <c r="B137" s="3" t="s">
        <v>343</v>
      </c>
      <c r="C137" s="3" t="s">
        <v>286</v>
      </c>
      <c r="D137" s="29" t="s">
        <v>446</v>
      </c>
      <c r="E137" s="30" t="s">
        <v>578</v>
      </c>
      <c r="F137" s="29" t="s">
        <v>445</v>
      </c>
      <c r="G137" s="31" t="s">
        <v>33</v>
      </c>
      <c r="H137" s="13">
        <v>1.0</v>
      </c>
      <c r="I137" s="13">
        <v>1.0</v>
      </c>
      <c r="J137" s="13">
        <v>1.0</v>
      </c>
      <c r="K137" s="13">
        <v>1.0</v>
      </c>
      <c r="L137" s="13">
        <v>1.0</v>
      </c>
      <c r="M137" s="13">
        <v>1.0</v>
      </c>
      <c r="N137" s="13">
        <v>1.0</v>
      </c>
      <c r="O137" s="13">
        <v>1.0</v>
      </c>
      <c r="P137" s="15">
        <f t="shared" si="5"/>
        <v>1</v>
      </c>
      <c r="U137" s="23">
        <f t="shared" ref="U137:V137" si="139">(H137+J137+L137+N137)/4</f>
        <v>1</v>
      </c>
      <c r="V137" s="23">
        <f t="shared" si="139"/>
        <v>1</v>
      </c>
    </row>
    <row r="138">
      <c r="A138" s="3" t="s">
        <v>175</v>
      </c>
      <c r="B138" s="3" t="s">
        <v>343</v>
      </c>
      <c r="C138" s="3" t="s">
        <v>286</v>
      </c>
      <c r="D138" s="29" t="s">
        <v>449</v>
      </c>
      <c r="E138" s="30" t="s">
        <v>579</v>
      </c>
      <c r="F138" s="29" t="s">
        <v>448</v>
      </c>
      <c r="G138" s="31" t="s">
        <v>33</v>
      </c>
      <c r="H138" s="13">
        <v>1.0</v>
      </c>
      <c r="I138" s="13">
        <v>1.0</v>
      </c>
      <c r="J138" s="13">
        <v>1.0</v>
      </c>
      <c r="K138" s="13">
        <v>1.0</v>
      </c>
      <c r="L138" s="13">
        <v>1.0</v>
      </c>
      <c r="M138" s="13">
        <v>1.0</v>
      </c>
      <c r="N138" s="13">
        <v>1.0</v>
      </c>
      <c r="O138" s="13">
        <v>1.0</v>
      </c>
      <c r="P138" s="15">
        <f t="shared" si="5"/>
        <v>1</v>
      </c>
      <c r="U138" s="23">
        <f t="shared" ref="U138:V138" si="140">(H138+J138+L138+N138)/4</f>
        <v>1</v>
      </c>
      <c r="V138" s="23">
        <f t="shared" si="140"/>
        <v>1</v>
      </c>
    </row>
    <row r="139">
      <c r="A139" s="3" t="s">
        <v>179</v>
      </c>
      <c r="B139" s="3" t="s">
        <v>343</v>
      </c>
      <c r="C139" s="3" t="s">
        <v>286</v>
      </c>
      <c r="D139" s="29" t="s">
        <v>452</v>
      </c>
      <c r="E139" s="30" t="s">
        <v>580</v>
      </c>
      <c r="F139" s="29" t="s">
        <v>451</v>
      </c>
      <c r="G139" s="31" t="s">
        <v>33</v>
      </c>
      <c r="H139" s="13">
        <v>1.0</v>
      </c>
      <c r="I139" s="13">
        <v>1.0</v>
      </c>
      <c r="J139" s="13">
        <v>0.5</v>
      </c>
      <c r="K139" s="13">
        <v>1.0</v>
      </c>
      <c r="L139" s="13">
        <v>1.0</v>
      </c>
      <c r="M139" s="13">
        <v>1.0</v>
      </c>
      <c r="N139" s="13">
        <v>1.0</v>
      </c>
      <c r="O139" s="13">
        <v>1.0</v>
      </c>
      <c r="P139" s="15">
        <f t="shared" si="5"/>
        <v>0.875</v>
      </c>
      <c r="U139" s="23">
        <f t="shared" ref="U139:V139" si="141">(H139+J139+L139+N139)/4</f>
        <v>0.875</v>
      </c>
      <c r="V139" s="23">
        <f t="shared" si="141"/>
        <v>1</v>
      </c>
    </row>
    <row r="140">
      <c r="A140" s="3" t="s">
        <v>183</v>
      </c>
      <c r="B140" s="3" t="s">
        <v>343</v>
      </c>
      <c r="C140" s="3" t="s">
        <v>286</v>
      </c>
      <c r="D140" s="29" t="s">
        <v>455</v>
      </c>
      <c r="E140" s="30" t="s">
        <v>581</v>
      </c>
      <c r="F140" s="29" t="s">
        <v>454</v>
      </c>
      <c r="G140" s="31" t="s">
        <v>33</v>
      </c>
      <c r="H140" s="13">
        <v>1.0</v>
      </c>
      <c r="I140" s="13">
        <v>1.0</v>
      </c>
      <c r="J140" s="13">
        <v>1.0</v>
      </c>
      <c r="K140" s="13">
        <v>1.0</v>
      </c>
      <c r="L140" s="13">
        <v>1.0</v>
      </c>
      <c r="M140" s="13">
        <v>1.0</v>
      </c>
      <c r="N140" s="13">
        <v>1.0</v>
      </c>
      <c r="O140" s="13">
        <v>1.0</v>
      </c>
      <c r="P140" s="15">
        <f t="shared" si="5"/>
        <v>1</v>
      </c>
      <c r="U140" s="23">
        <f t="shared" ref="U140:V140" si="142">(H140+J140+L140+N140)/4</f>
        <v>1</v>
      </c>
      <c r="V140" s="23">
        <f t="shared" si="142"/>
        <v>1</v>
      </c>
    </row>
    <row r="141">
      <c r="A141" s="3" t="s">
        <v>187</v>
      </c>
      <c r="B141" s="3" t="s">
        <v>343</v>
      </c>
      <c r="C141" s="3" t="s">
        <v>286</v>
      </c>
      <c r="D141" s="29" t="s">
        <v>458</v>
      </c>
      <c r="E141" s="30" t="s">
        <v>582</v>
      </c>
      <c r="F141" s="29" t="s">
        <v>457</v>
      </c>
      <c r="G141" s="31" t="s">
        <v>33</v>
      </c>
      <c r="H141" s="13">
        <v>1.0</v>
      </c>
      <c r="I141" s="13">
        <v>1.0</v>
      </c>
      <c r="J141" s="13">
        <v>1.0</v>
      </c>
      <c r="K141" s="13">
        <v>1.0</v>
      </c>
      <c r="L141" s="13">
        <v>1.0</v>
      </c>
      <c r="M141" s="13">
        <v>1.0</v>
      </c>
      <c r="N141" s="13">
        <v>1.0</v>
      </c>
      <c r="O141" s="13">
        <v>1.0</v>
      </c>
      <c r="P141" s="15">
        <f t="shared" si="5"/>
        <v>1</v>
      </c>
      <c r="U141" s="23">
        <f t="shared" ref="U141:V141" si="143">(H141+J141+L141+N141)/4</f>
        <v>1</v>
      </c>
      <c r="V141" s="23">
        <f t="shared" si="143"/>
        <v>1</v>
      </c>
    </row>
    <row r="142">
      <c r="A142" s="3" t="s">
        <v>191</v>
      </c>
      <c r="B142" s="3" t="s">
        <v>343</v>
      </c>
      <c r="C142" s="3" t="s">
        <v>286</v>
      </c>
      <c r="D142" s="29" t="s">
        <v>461</v>
      </c>
      <c r="E142" s="30" t="s">
        <v>583</v>
      </c>
      <c r="F142" s="29" t="s">
        <v>460</v>
      </c>
      <c r="G142" s="31" t="s">
        <v>33</v>
      </c>
      <c r="H142" s="13">
        <v>1.0</v>
      </c>
      <c r="I142" s="13">
        <v>1.0</v>
      </c>
      <c r="J142" s="13">
        <v>1.0</v>
      </c>
      <c r="K142" s="13">
        <v>1.0</v>
      </c>
      <c r="L142" s="13">
        <v>1.0</v>
      </c>
      <c r="M142" s="13">
        <v>1.0</v>
      </c>
      <c r="N142" s="13">
        <v>1.0</v>
      </c>
      <c r="O142" s="13">
        <v>1.0</v>
      </c>
      <c r="P142" s="15">
        <f t="shared" si="5"/>
        <v>1</v>
      </c>
      <c r="U142" s="23">
        <f t="shared" ref="U142:V142" si="144">(H142+J142+L142+N142)/4</f>
        <v>1</v>
      </c>
      <c r="V142" s="23">
        <f t="shared" si="144"/>
        <v>1</v>
      </c>
    </row>
    <row r="143">
      <c r="A143" s="3" t="s">
        <v>195</v>
      </c>
      <c r="B143" s="3" t="s">
        <v>343</v>
      </c>
      <c r="C143" s="3" t="s">
        <v>286</v>
      </c>
      <c r="D143" s="29" t="s">
        <v>464</v>
      </c>
      <c r="E143" s="30" t="s">
        <v>584</v>
      </c>
      <c r="F143" s="29" t="s">
        <v>463</v>
      </c>
      <c r="G143" s="31" t="s">
        <v>33</v>
      </c>
      <c r="H143" s="13">
        <v>1.0</v>
      </c>
      <c r="I143" s="13">
        <v>1.0</v>
      </c>
      <c r="J143" s="13">
        <v>1.0</v>
      </c>
      <c r="K143" s="13">
        <v>1.0</v>
      </c>
      <c r="L143" s="13">
        <v>1.0</v>
      </c>
      <c r="M143" s="13">
        <v>1.0</v>
      </c>
      <c r="N143" s="13">
        <v>1.0</v>
      </c>
      <c r="O143" s="13">
        <v>1.0</v>
      </c>
      <c r="P143" s="15">
        <f t="shared" si="5"/>
        <v>1</v>
      </c>
      <c r="U143" s="23">
        <f t="shared" ref="U143:V143" si="145">(H143+J143+L143+N143)/4</f>
        <v>1</v>
      </c>
      <c r="V143" s="23">
        <f t="shared" si="145"/>
        <v>1</v>
      </c>
    </row>
    <row r="144">
      <c r="A144" s="3" t="s">
        <v>199</v>
      </c>
      <c r="B144" s="3" t="s">
        <v>343</v>
      </c>
      <c r="C144" s="3" t="s">
        <v>286</v>
      </c>
      <c r="D144" s="29" t="s">
        <v>467</v>
      </c>
      <c r="E144" s="30" t="s">
        <v>585</v>
      </c>
      <c r="F144" s="29" t="s">
        <v>466</v>
      </c>
      <c r="G144" s="31" t="s">
        <v>33</v>
      </c>
      <c r="H144" s="13">
        <v>1.0</v>
      </c>
      <c r="I144" s="13">
        <v>1.0</v>
      </c>
      <c r="J144" s="13">
        <v>1.0</v>
      </c>
      <c r="K144" s="13">
        <v>1.0</v>
      </c>
      <c r="L144" s="13">
        <v>1.0</v>
      </c>
      <c r="M144" s="13">
        <v>1.0</v>
      </c>
      <c r="N144" s="13">
        <v>1.0</v>
      </c>
      <c r="O144" s="13">
        <v>1.0</v>
      </c>
      <c r="P144" s="15">
        <f t="shared" si="5"/>
        <v>1</v>
      </c>
      <c r="U144" s="23">
        <f t="shared" ref="U144:V144" si="146">(H144+J144+L144+N144)/4</f>
        <v>1</v>
      </c>
      <c r="V144" s="23">
        <f t="shared" si="146"/>
        <v>1</v>
      </c>
    </row>
    <row r="145">
      <c r="A145" s="3" t="s">
        <v>203</v>
      </c>
      <c r="B145" s="3" t="s">
        <v>343</v>
      </c>
      <c r="C145" s="3" t="s">
        <v>286</v>
      </c>
      <c r="D145" s="29" t="s">
        <v>470</v>
      </c>
      <c r="E145" s="30" t="s">
        <v>586</v>
      </c>
      <c r="F145" s="29" t="s">
        <v>469</v>
      </c>
      <c r="G145" s="31" t="s">
        <v>33</v>
      </c>
      <c r="H145" s="13">
        <v>1.0</v>
      </c>
      <c r="I145" s="13">
        <v>1.0</v>
      </c>
      <c r="J145" s="13">
        <v>1.0</v>
      </c>
      <c r="K145" s="13">
        <v>1.0</v>
      </c>
      <c r="L145" s="13">
        <v>1.0</v>
      </c>
      <c r="M145" s="13">
        <v>1.0</v>
      </c>
      <c r="N145" s="13">
        <v>1.0</v>
      </c>
      <c r="O145" s="13">
        <v>1.0</v>
      </c>
      <c r="P145" s="15">
        <f t="shared" si="5"/>
        <v>1</v>
      </c>
      <c r="U145" s="23">
        <f t="shared" ref="U145:V145" si="147">(H145+J145+L145+N145)/4</f>
        <v>1</v>
      </c>
      <c r="V145" s="23">
        <f t="shared" si="147"/>
        <v>1</v>
      </c>
    </row>
    <row r="146">
      <c r="A146" s="3" t="s">
        <v>207</v>
      </c>
      <c r="B146" s="3" t="s">
        <v>343</v>
      </c>
      <c r="C146" s="3" t="s">
        <v>286</v>
      </c>
      <c r="D146" s="29" t="s">
        <v>473</v>
      </c>
      <c r="E146" s="30" t="s">
        <v>587</v>
      </c>
      <c r="F146" s="29" t="s">
        <v>472</v>
      </c>
      <c r="G146" s="31" t="s">
        <v>33</v>
      </c>
      <c r="H146" s="13">
        <v>1.0</v>
      </c>
      <c r="I146" s="13">
        <v>1.0</v>
      </c>
      <c r="J146" s="13">
        <v>1.0</v>
      </c>
      <c r="K146" s="13">
        <v>1.0</v>
      </c>
      <c r="L146" s="13">
        <v>1.0</v>
      </c>
      <c r="M146" s="13">
        <v>1.0</v>
      </c>
      <c r="N146" s="13">
        <v>1.0</v>
      </c>
      <c r="O146" s="13">
        <v>1.0</v>
      </c>
      <c r="P146" s="15">
        <f t="shared" si="5"/>
        <v>1</v>
      </c>
      <c r="U146" s="23">
        <f t="shared" ref="U146:V146" si="148">(H146+J146+L146+N146)/4</f>
        <v>1</v>
      </c>
      <c r="V146" s="23">
        <f t="shared" si="148"/>
        <v>1</v>
      </c>
    </row>
    <row r="147">
      <c r="A147" s="3" t="s">
        <v>211</v>
      </c>
      <c r="B147" s="3" t="s">
        <v>343</v>
      </c>
      <c r="C147" s="3" t="s">
        <v>286</v>
      </c>
      <c r="D147" s="29" t="s">
        <v>476</v>
      </c>
      <c r="E147" s="30" t="s">
        <v>588</v>
      </c>
      <c r="F147" s="29" t="s">
        <v>475</v>
      </c>
      <c r="G147" s="31" t="s">
        <v>33</v>
      </c>
      <c r="H147" s="13">
        <v>1.0</v>
      </c>
      <c r="I147" s="13">
        <v>1.0</v>
      </c>
      <c r="J147" s="13">
        <v>1.0</v>
      </c>
      <c r="K147" s="13">
        <v>1.0</v>
      </c>
      <c r="L147" s="13">
        <v>1.0</v>
      </c>
      <c r="M147" s="13">
        <v>1.0</v>
      </c>
      <c r="N147" s="13">
        <v>1.0</v>
      </c>
      <c r="O147" s="13">
        <v>1.0</v>
      </c>
      <c r="P147" s="15">
        <f t="shared" si="5"/>
        <v>1</v>
      </c>
      <c r="U147" s="23">
        <f t="shared" ref="U147:V147" si="149">(H147+J147+L147+N147)/4</f>
        <v>1</v>
      </c>
      <c r="V147" s="23">
        <f t="shared" si="149"/>
        <v>1</v>
      </c>
    </row>
    <row r="148">
      <c r="A148" s="3" t="s">
        <v>215</v>
      </c>
      <c r="B148" s="3" t="s">
        <v>343</v>
      </c>
      <c r="C148" s="3" t="s">
        <v>286</v>
      </c>
      <c r="D148" s="29" t="s">
        <v>479</v>
      </c>
      <c r="E148" s="30" t="s">
        <v>589</v>
      </c>
      <c r="F148" s="29" t="s">
        <v>478</v>
      </c>
      <c r="G148" s="31" t="s">
        <v>33</v>
      </c>
      <c r="H148" s="13">
        <v>1.0</v>
      </c>
      <c r="I148" s="13">
        <v>1.0</v>
      </c>
      <c r="J148" s="13">
        <v>1.0</v>
      </c>
      <c r="K148" s="13">
        <v>1.0</v>
      </c>
      <c r="L148" s="13">
        <v>1.0</v>
      </c>
      <c r="M148" s="13">
        <v>1.0</v>
      </c>
      <c r="N148" s="13">
        <v>1.0</v>
      </c>
      <c r="O148" s="13">
        <v>1.0</v>
      </c>
      <c r="P148" s="15">
        <f t="shared" si="5"/>
        <v>1</v>
      </c>
      <c r="U148" s="23">
        <f t="shared" ref="U148:V148" si="150">(H148+J148+L148+N148)/4</f>
        <v>1</v>
      </c>
      <c r="V148" s="23">
        <f t="shared" si="150"/>
        <v>1</v>
      </c>
    </row>
    <row r="149">
      <c r="A149" s="3" t="s">
        <v>219</v>
      </c>
      <c r="B149" s="3" t="s">
        <v>343</v>
      </c>
      <c r="C149" s="3" t="s">
        <v>286</v>
      </c>
      <c r="D149" s="29" t="s">
        <v>482</v>
      </c>
      <c r="E149" s="30" t="s">
        <v>590</v>
      </c>
      <c r="F149" s="29" t="s">
        <v>481</v>
      </c>
      <c r="G149" s="31" t="s">
        <v>33</v>
      </c>
      <c r="H149" s="13">
        <v>0.5</v>
      </c>
      <c r="I149" s="13">
        <v>1.0</v>
      </c>
      <c r="J149" s="13">
        <v>1.0</v>
      </c>
      <c r="K149" s="13">
        <v>1.0</v>
      </c>
      <c r="L149" s="13">
        <v>1.0</v>
      </c>
      <c r="M149" s="13">
        <v>1.0</v>
      </c>
      <c r="N149" s="13">
        <v>1.0</v>
      </c>
      <c r="O149" s="13">
        <v>1.0</v>
      </c>
      <c r="P149" s="15">
        <f t="shared" si="5"/>
        <v>0.875</v>
      </c>
      <c r="U149" s="23">
        <f t="shared" ref="U149:V149" si="151">(H149+J149+L149+N149)/4</f>
        <v>0.875</v>
      </c>
      <c r="V149" s="23">
        <f t="shared" si="151"/>
        <v>1</v>
      </c>
    </row>
    <row r="150">
      <c r="A150" s="3" t="s">
        <v>223</v>
      </c>
      <c r="B150" s="3" t="s">
        <v>343</v>
      </c>
      <c r="C150" s="3" t="s">
        <v>286</v>
      </c>
      <c r="D150" s="29" t="s">
        <v>485</v>
      </c>
      <c r="E150" s="30" t="s">
        <v>591</v>
      </c>
      <c r="F150" s="29" t="s">
        <v>484</v>
      </c>
      <c r="G150" s="31" t="s">
        <v>33</v>
      </c>
      <c r="H150" s="13">
        <v>1.0</v>
      </c>
      <c r="I150" s="13">
        <v>1.0</v>
      </c>
      <c r="J150" s="13">
        <v>1.0</v>
      </c>
      <c r="K150" s="13">
        <v>1.0</v>
      </c>
      <c r="L150" s="13">
        <v>1.0</v>
      </c>
      <c r="M150" s="13">
        <v>1.0</v>
      </c>
      <c r="N150" s="13">
        <v>1.0</v>
      </c>
      <c r="O150" s="13">
        <v>1.0</v>
      </c>
      <c r="P150" s="15">
        <f t="shared" si="5"/>
        <v>1</v>
      </c>
      <c r="U150" s="23">
        <f t="shared" ref="U150:V150" si="152">(H150+J150+L150+N150)/4</f>
        <v>1</v>
      </c>
      <c r="V150" s="23">
        <f t="shared" si="152"/>
        <v>1</v>
      </c>
    </row>
    <row r="151">
      <c r="A151" s="3" t="s">
        <v>227</v>
      </c>
      <c r="B151" s="3" t="s">
        <v>343</v>
      </c>
      <c r="C151" s="3" t="s">
        <v>286</v>
      </c>
      <c r="D151" s="29" t="s">
        <v>488</v>
      </c>
      <c r="E151" s="30" t="s">
        <v>592</v>
      </c>
      <c r="F151" s="29" t="s">
        <v>487</v>
      </c>
      <c r="G151" s="31" t="s">
        <v>33</v>
      </c>
      <c r="H151" s="13">
        <v>1.0</v>
      </c>
      <c r="I151" s="13">
        <v>1.0</v>
      </c>
      <c r="J151" s="13">
        <v>1.0</v>
      </c>
      <c r="K151" s="13">
        <v>1.0</v>
      </c>
      <c r="L151" s="13">
        <v>1.0</v>
      </c>
      <c r="M151" s="13">
        <v>1.0</v>
      </c>
      <c r="N151" s="13">
        <v>1.0</v>
      </c>
      <c r="O151" s="13">
        <v>1.0</v>
      </c>
      <c r="P151" s="15">
        <f t="shared" si="5"/>
        <v>1</v>
      </c>
      <c r="U151" s="23">
        <f t="shared" ref="U151:V151" si="153">(H151+J151+L151+N151)/4</f>
        <v>1</v>
      </c>
      <c r="V151" s="23">
        <f t="shared" si="153"/>
        <v>1</v>
      </c>
    </row>
    <row r="152">
      <c r="A152" s="3" t="s">
        <v>231</v>
      </c>
      <c r="B152" s="3" t="s">
        <v>343</v>
      </c>
      <c r="C152" s="3" t="s">
        <v>286</v>
      </c>
      <c r="D152" s="29" t="s">
        <v>491</v>
      </c>
      <c r="E152" s="30" t="s">
        <v>593</v>
      </c>
      <c r="F152" s="29" t="s">
        <v>490</v>
      </c>
      <c r="G152" s="31" t="s">
        <v>33</v>
      </c>
      <c r="H152" s="13">
        <v>1.0</v>
      </c>
      <c r="I152" s="13">
        <v>1.0</v>
      </c>
      <c r="J152" s="13">
        <v>1.0</v>
      </c>
      <c r="K152" s="13">
        <v>1.0</v>
      </c>
      <c r="L152" s="13">
        <v>1.0</v>
      </c>
      <c r="M152" s="13">
        <v>1.0</v>
      </c>
      <c r="N152" s="13">
        <v>1.0</v>
      </c>
      <c r="O152" s="13">
        <v>1.0</v>
      </c>
      <c r="P152" s="15">
        <f t="shared" si="5"/>
        <v>1</v>
      </c>
      <c r="U152" s="23">
        <f t="shared" ref="U152:V152" si="154">(H152+J152+L152+N152)/4</f>
        <v>1</v>
      </c>
      <c r="V152" s="23">
        <f t="shared" si="154"/>
        <v>1</v>
      </c>
    </row>
    <row r="153">
      <c r="B153" s="23"/>
      <c r="C153" s="23"/>
      <c r="E153" s="24"/>
      <c r="G153" s="23"/>
      <c r="H153" s="23"/>
      <c r="I153" s="23"/>
      <c r="J153" s="23"/>
      <c r="K153" s="23"/>
      <c r="L153" s="23"/>
      <c r="M153" s="23"/>
      <c r="N153" s="23"/>
      <c r="O153" s="23"/>
    </row>
    <row r="154">
      <c r="B154" s="23"/>
      <c r="C154" s="23"/>
      <c r="E154" s="24"/>
      <c r="G154" s="23"/>
      <c r="H154" s="23"/>
      <c r="I154" s="23"/>
      <c r="J154" s="23"/>
      <c r="K154" s="23"/>
      <c r="L154" s="23"/>
      <c r="M154" s="23"/>
      <c r="N154" s="23"/>
      <c r="O154" s="23"/>
    </row>
    <row r="155">
      <c r="B155" s="23"/>
      <c r="C155" s="23"/>
      <c r="E155" s="24"/>
      <c r="G155" s="23"/>
      <c r="H155" s="23"/>
      <c r="I155" s="23"/>
      <c r="J155" s="23"/>
      <c r="K155" s="23"/>
      <c r="L155" s="23"/>
      <c r="M155" s="23"/>
      <c r="N155" s="23"/>
      <c r="O155" s="23"/>
    </row>
    <row r="156">
      <c r="B156" s="23"/>
      <c r="C156" s="23"/>
      <c r="E156" s="24"/>
      <c r="G156" s="23"/>
      <c r="H156" s="23"/>
      <c r="I156" s="23"/>
      <c r="J156" s="23"/>
      <c r="K156" s="23"/>
      <c r="L156" s="23"/>
      <c r="M156" s="23"/>
      <c r="N156" s="23"/>
      <c r="O156" s="23"/>
    </row>
    <row r="157">
      <c r="B157" s="23"/>
      <c r="C157" s="23"/>
      <c r="E157" s="24"/>
      <c r="G157" s="23"/>
      <c r="H157" s="23"/>
      <c r="I157" s="23"/>
      <c r="J157" s="23"/>
      <c r="K157" s="23"/>
      <c r="L157" s="23"/>
      <c r="M157" s="23"/>
      <c r="N157" s="23"/>
      <c r="O157" s="23"/>
    </row>
    <row r="158">
      <c r="B158" s="23"/>
      <c r="C158" s="23"/>
      <c r="E158" s="24"/>
      <c r="G158" s="23"/>
      <c r="H158" s="23"/>
      <c r="I158" s="23"/>
      <c r="J158" s="23"/>
      <c r="K158" s="23"/>
      <c r="L158" s="23"/>
      <c r="M158" s="23"/>
      <c r="N158" s="23"/>
      <c r="O158" s="23"/>
    </row>
    <row r="159">
      <c r="B159" s="23"/>
      <c r="C159" s="23"/>
      <c r="E159" s="24"/>
      <c r="G159" s="23"/>
      <c r="H159" s="23"/>
      <c r="I159" s="23"/>
      <c r="J159" s="23"/>
      <c r="K159" s="23"/>
      <c r="L159" s="23"/>
      <c r="M159" s="23"/>
      <c r="N159" s="23"/>
      <c r="O159" s="23"/>
    </row>
    <row r="160">
      <c r="B160" s="23"/>
      <c r="C160" s="23"/>
      <c r="E160" s="24"/>
      <c r="G160" s="23"/>
      <c r="H160" s="23"/>
      <c r="I160" s="23"/>
      <c r="J160" s="23"/>
      <c r="K160" s="23"/>
      <c r="L160" s="23"/>
      <c r="M160" s="23"/>
      <c r="N160" s="23"/>
      <c r="O160" s="23"/>
    </row>
    <row r="161">
      <c r="B161" s="23"/>
      <c r="C161" s="23"/>
      <c r="E161" s="24"/>
      <c r="G161" s="23"/>
      <c r="H161" s="23"/>
      <c r="I161" s="23"/>
      <c r="J161" s="23"/>
      <c r="K161" s="23"/>
      <c r="L161" s="23"/>
      <c r="M161" s="23"/>
      <c r="N161" s="23"/>
      <c r="O161" s="23"/>
    </row>
    <row r="162">
      <c r="B162" s="23"/>
      <c r="C162" s="23"/>
      <c r="E162" s="24"/>
      <c r="G162" s="23"/>
      <c r="H162" s="23"/>
      <c r="I162" s="23"/>
      <c r="J162" s="23"/>
      <c r="K162" s="23"/>
      <c r="L162" s="23"/>
      <c r="M162" s="23"/>
      <c r="N162" s="23"/>
      <c r="O162" s="23"/>
    </row>
    <row r="163">
      <c r="B163" s="23"/>
      <c r="C163" s="23"/>
      <c r="E163" s="24"/>
      <c r="G163" s="23"/>
      <c r="H163" s="23"/>
      <c r="I163" s="23"/>
      <c r="J163" s="23"/>
      <c r="K163" s="23"/>
      <c r="L163" s="23"/>
      <c r="M163" s="23"/>
      <c r="N163" s="23"/>
      <c r="O163" s="23"/>
    </row>
    <row r="164">
      <c r="B164" s="23"/>
      <c r="C164" s="23"/>
      <c r="E164" s="24"/>
      <c r="G164" s="23"/>
      <c r="H164" s="23"/>
      <c r="I164" s="23"/>
      <c r="J164" s="23"/>
      <c r="K164" s="23"/>
      <c r="L164" s="23"/>
      <c r="M164" s="23"/>
      <c r="N164" s="23"/>
      <c r="O164" s="23"/>
    </row>
    <row r="165">
      <c r="B165" s="23"/>
      <c r="C165" s="23"/>
      <c r="E165" s="24"/>
      <c r="G165" s="23"/>
      <c r="H165" s="23"/>
      <c r="I165" s="23"/>
      <c r="J165" s="23"/>
      <c r="K165" s="23"/>
      <c r="L165" s="23"/>
      <c r="M165" s="23"/>
      <c r="N165" s="23"/>
      <c r="O165" s="23"/>
    </row>
    <row r="166">
      <c r="B166" s="23"/>
      <c r="C166" s="23"/>
      <c r="E166" s="24"/>
      <c r="G166" s="23"/>
      <c r="H166" s="23"/>
      <c r="I166" s="23"/>
      <c r="J166" s="23"/>
      <c r="K166" s="23"/>
      <c r="L166" s="23"/>
      <c r="M166" s="23"/>
      <c r="N166" s="23"/>
      <c r="O166" s="23"/>
    </row>
    <row r="167">
      <c r="B167" s="23"/>
      <c r="C167" s="23"/>
      <c r="E167" s="24"/>
      <c r="G167" s="23"/>
      <c r="H167" s="23"/>
      <c r="I167" s="23"/>
      <c r="J167" s="23"/>
      <c r="K167" s="23"/>
      <c r="L167" s="23"/>
      <c r="M167" s="23"/>
      <c r="N167" s="23"/>
      <c r="O167" s="23"/>
    </row>
    <row r="168">
      <c r="B168" s="23"/>
      <c r="C168" s="23"/>
      <c r="E168" s="24"/>
      <c r="G168" s="23"/>
      <c r="H168" s="23"/>
      <c r="I168" s="23"/>
      <c r="J168" s="23"/>
      <c r="K168" s="23"/>
      <c r="L168" s="23"/>
      <c r="M168" s="23"/>
      <c r="N168" s="23"/>
      <c r="O168" s="23"/>
    </row>
    <row r="169">
      <c r="B169" s="23"/>
      <c r="C169" s="23"/>
      <c r="E169" s="24"/>
      <c r="G169" s="23"/>
      <c r="H169" s="23"/>
      <c r="I169" s="23"/>
      <c r="J169" s="23"/>
      <c r="K169" s="23"/>
      <c r="L169" s="23"/>
      <c r="M169" s="23"/>
      <c r="N169" s="23"/>
      <c r="O169" s="23"/>
    </row>
    <row r="170">
      <c r="B170" s="23"/>
      <c r="C170" s="23"/>
      <c r="E170" s="24"/>
      <c r="G170" s="23"/>
      <c r="H170" s="23"/>
      <c r="I170" s="23"/>
      <c r="J170" s="23"/>
      <c r="K170" s="23"/>
      <c r="L170" s="23"/>
      <c r="M170" s="23"/>
      <c r="N170" s="23"/>
      <c r="O170" s="23"/>
    </row>
    <row r="171">
      <c r="B171" s="23"/>
      <c r="C171" s="23"/>
      <c r="E171" s="24"/>
      <c r="G171" s="23"/>
      <c r="H171" s="23"/>
      <c r="I171" s="23"/>
      <c r="J171" s="23"/>
      <c r="K171" s="23"/>
      <c r="L171" s="23"/>
      <c r="M171" s="23"/>
      <c r="N171" s="23"/>
      <c r="O171" s="23"/>
    </row>
    <row r="172">
      <c r="B172" s="23"/>
      <c r="C172" s="23"/>
      <c r="E172" s="24"/>
      <c r="G172" s="23"/>
      <c r="H172" s="23"/>
      <c r="I172" s="23"/>
      <c r="J172" s="23"/>
      <c r="K172" s="23"/>
      <c r="L172" s="23"/>
      <c r="M172" s="23"/>
      <c r="N172" s="23"/>
      <c r="O172" s="23"/>
    </row>
    <row r="173">
      <c r="B173" s="23"/>
      <c r="C173" s="23"/>
      <c r="E173" s="24"/>
      <c r="G173" s="23"/>
      <c r="H173" s="23"/>
      <c r="I173" s="23"/>
      <c r="J173" s="23"/>
      <c r="K173" s="23"/>
      <c r="L173" s="23"/>
      <c r="M173" s="23"/>
      <c r="N173" s="23"/>
      <c r="O173" s="23"/>
    </row>
    <row r="174">
      <c r="B174" s="23"/>
      <c r="C174" s="23"/>
      <c r="E174" s="24"/>
      <c r="G174" s="23"/>
      <c r="H174" s="23"/>
      <c r="I174" s="23"/>
      <c r="J174" s="23"/>
      <c r="K174" s="23"/>
      <c r="L174" s="23"/>
      <c r="M174" s="23"/>
      <c r="N174" s="23"/>
      <c r="O174" s="23"/>
    </row>
    <row r="175">
      <c r="B175" s="23"/>
      <c r="C175" s="23"/>
      <c r="E175" s="24"/>
      <c r="G175" s="23"/>
      <c r="H175" s="23"/>
      <c r="I175" s="23"/>
      <c r="J175" s="23"/>
      <c r="K175" s="23"/>
      <c r="L175" s="23"/>
      <c r="M175" s="23"/>
      <c r="N175" s="23"/>
      <c r="O175" s="23"/>
    </row>
    <row r="176">
      <c r="B176" s="23"/>
      <c r="C176" s="23"/>
      <c r="E176" s="24"/>
      <c r="G176" s="23"/>
      <c r="H176" s="23"/>
      <c r="I176" s="23"/>
      <c r="J176" s="23"/>
      <c r="K176" s="23"/>
      <c r="L176" s="23"/>
      <c r="M176" s="23"/>
      <c r="N176" s="23"/>
      <c r="O176" s="23"/>
    </row>
    <row r="177">
      <c r="B177" s="23"/>
      <c r="C177" s="23"/>
      <c r="E177" s="24"/>
      <c r="G177" s="23"/>
      <c r="H177" s="23"/>
      <c r="I177" s="23"/>
      <c r="J177" s="23"/>
      <c r="K177" s="23"/>
      <c r="L177" s="23"/>
      <c r="M177" s="23"/>
      <c r="N177" s="23"/>
      <c r="O177" s="23"/>
    </row>
    <row r="178">
      <c r="B178" s="23"/>
      <c r="C178" s="23"/>
      <c r="E178" s="24"/>
      <c r="G178" s="23"/>
      <c r="H178" s="23"/>
      <c r="I178" s="23"/>
      <c r="J178" s="23"/>
      <c r="K178" s="23"/>
      <c r="L178" s="23"/>
      <c r="M178" s="23"/>
      <c r="N178" s="23"/>
      <c r="O178" s="23"/>
    </row>
    <row r="179">
      <c r="B179" s="23"/>
      <c r="C179" s="23"/>
      <c r="E179" s="24"/>
      <c r="G179" s="23"/>
      <c r="H179" s="23"/>
      <c r="I179" s="23"/>
      <c r="J179" s="23"/>
      <c r="K179" s="23"/>
      <c r="L179" s="23"/>
      <c r="M179" s="23"/>
      <c r="N179" s="23"/>
      <c r="O179" s="23"/>
    </row>
    <row r="180">
      <c r="B180" s="23"/>
      <c r="C180" s="23"/>
      <c r="E180" s="24"/>
      <c r="G180" s="23"/>
      <c r="H180" s="23"/>
      <c r="I180" s="23"/>
      <c r="J180" s="23"/>
      <c r="K180" s="23"/>
      <c r="L180" s="23"/>
      <c r="M180" s="23"/>
      <c r="N180" s="23"/>
      <c r="O180" s="23"/>
    </row>
    <row r="181">
      <c r="B181" s="23"/>
      <c r="C181" s="23"/>
      <c r="E181" s="24"/>
      <c r="G181" s="23"/>
      <c r="H181" s="23"/>
      <c r="I181" s="23"/>
      <c r="J181" s="23"/>
      <c r="K181" s="23"/>
      <c r="L181" s="23"/>
      <c r="M181" s="23"/>
      <c r="N181" s="23"/>
      <c r="O181" s="23"/>
    </row>
    <row r="182">
      <c r="B182" s="23"/>
      <c r="C182" s="23"/>
      <c r="E182" s="24"/>
      <c r="G182" s="23"/>
      <c r="H182" s="23"/>
      <c r="I182" s="23"/>
      <c r="J182" s="23"/>
      <c r="K182" s="23"/>
      <c r="L182" s="23"/>
      <c r="M182" s="23"/>
      <c r="N182" s="23"/>
      <c r="O182" s="23"/>
    </row>
    <row r="183">
      <c r="B183" s="23"/>
      <c r="C183" s="23"/>
      <c r="E183" s="24"/>
      <c r="G183" s="23"/>
      <c r="H183" s="23"/>
      <c r="I183" s="23"/>
      <c r="J183" s="23"/>
      <c r="K183" s="23"/>
      <c r="L183" s="23"/>
      <c r="M183" s="23"/>
      <c r="N183" s="23"/>
      <c r="O183" s="23"/>
    </row>
    <row r="184">
      <c r="B184" s="23"/>
      <c r="C184" s="23"/>
      <c r="E184" s="24"/>
      <c r="G184" s="23"/>
      <c r="H184" s="23"/>
      <c r="I184" s="23"/>
      <c r="J184" s="23"/>
      <c r="K184" s="23"/>
      <c r="L184" s="23"/>
      <c r="M184" s="23"/>
      <c r="N184" s="23"/>
      <c r="O184" s="23"/>
    </row>
    <row r="185">
      <c r="B185" s="23"/>
      <c r="C185" s="23"/>
      <c r="E185" s="24"/>
      <c r="G185" s="23"/>
      <c r="H185" s="23"/>
      <c r="I185" s="23"/>
      <c r="J185" s="23"/>
      <c r="K185" s="23"/>
      <c r="L185" s="23"/>
      <c r="M185" s="23"/>
      <c r="N185" s="23"/>
      <c r="O185" s="23"/>
    </row>
    <row r="186">
      <c r="B186" s="23"/>
      <c r="C186" s="23"/>
      <c r="E186" s="24"/>
      <c r="G186" s="23"/>
      <c r="H186" s="23"/>
      <c r="I186" s="23"/>
      <c r="J186" s="23"/>
      <c r="K186" s="23"/>
      <c r="L186" s="23"/>
      <c r="M186" s="23"/>
      <c r="N186" s="23"/>
      <c r="O186" s="23"/>
    </row>
    <row r="187">
      <c r="B187" s="23"/>
      <c r="C187" s="23"/>
      <c r="E187" s="24"/>
      <c r="G187" s="23"/>
      <c r="H187" s="23"/>
      <c r="I187" s="23"/>
      <c r="J187" s="23"/>
      <c r="K187" s="23"/>
      <c r="L187" s="23"/>
      <c r="M187" s="23"/>
      <c r="N187" s="23"/>
      <c r="O187" s="23"/>
    </row>
    <row r="188">
      <c r="B188" s="23"/>
      <c r="C188" s="23"/>
      <c r="E188" s="24"/>
      <c r="G188" s="23"/>
      <c r="H188" s="23"/>
      <c r="I188" s="23"/>
      <c r="J188" s="23"/>
      <c r="K188" s="23"/>
      <c r="L188" s="23"/>
      <c r="M188" s="23"/>
      <c r="N188" s="23"/>
      <c r="O188" s="23"/>
    </row>
    <row r="189">
      <c r="B189" s="23"/>
      <c r="C189" s="23"/>
      <c r="E189" s="24"/>
      <c r="G189" s="23"/>
      <c r="H189" s="23"/>
      <c r="I189" s="23"/>
      <c r="J189" s="23"/>
      <c r="K189" s="23"/>
      <c r="L189" s="23"/>
      <c r="M189" s="23"/>
      <c r="N189" s="23"/>
      <c r="O189" s="23"/>
    </row>
    <row r="190">
      <c r="B190" s="23"/>
      <c r="C190" s="23"/>
      <c r="E190" s="24"/>
      <c r="G190" s="23"/>
      <c r="H190" s="23"/>
      <c r="I190" s="23"/>
      <c r="J190" s="23"/>
      <c r="K190" s="23"/>
      <c r="L190" s="23"/>
      <c r="M190" s="23"/>
      <c r="N190" s="23"/>
      <c r="O190" s="23"/>
    </row>
    <row r="191">
      <c r="B191" s="23"/>
      <c r="C191" s="23"/>
      <c r="E191" s="24"/>
      <c r="G191" s="23"/>
      <c r="H191" s="23"/>
      <c r="I191" s="23"/>
      <c r="J191" s="23"/>
      <c r="K191" s="23"/>
      <c r="L191" s="23"/>
      <c r="M191" s="23"/>
      <c r="N191" s="23"/>
      <c r="O191" s="23"/>
    </row>
    <row r="192">
      <c r="B192" s="23"/>
      <c r="C192" s="23"/>
      <c r="E192" s="24"/>
      <c r="G192" s="23"/>
      <c r="H192" s="23"/>
      <c r="I192" s="23"/>
      <c r="J192" s="23"/>
      <c r="K192" s="23"/>
      <c r="L192" s="23"/>
      <c r="M192" s="23"/>
      <c r="N192" s="23"/>
      <c r="O192" s="23"/>
    </row>
    <row r="193">
      <c r="B193" s="23"/>
      <c r="C193" s="23"/>
      <c r="E193" s="24"/>
      <c r="G193" s="23"/>
      <c r="H193" s="23"/>
      <c r="I193" s="23"/>
      <c r="J193" s="23"/>
      <c r="K193" s="23"/>
      <c r="L193" s="23"/>
      <c r="M193" s="23"/>
      <c r="N193" s="23"/>
      <c r="O193" s="23"/>
    </row>
    <row r="194">
      <c r="B194" s="23"/>
      <c r="C194" s="23"/>
      <c r="E194" s="24"/>
      <c r="G194" s="23"/>
      <c r="H194" s="23"/>
      <c r="I194" s="23"/>
      <c r="J194" s="23"/>
      <c r="K194" s="23"/>
      <c r="L194" s="23"/>
      <c r="M194" s="23"/>
      <c r="N194" s="23"/>
      <c r="O194" s="23"/>
    </row>
    <row r="195">
      <c r="B195" s="23"/>
      <c r="C195" s="23"/>
      <c r="E195" s="24"/>
      <c r="G195" s="23"/>
      <c r="H195" s="23"/>
      <c r="I195" s="23"/>
      <c r="J195" s="23"/>
      <c r="K195" s="23"/>
      <c r="L195" s="23"/>
      <c r="M195" s="23"/>
      <c r="N195" s="23"/>
      <c r="O195" s="23"/>
    </row>
    <row r="196">
      <c r="B196" s="23"/>
      <c r="C196" s="23"/>
      <c r="E196" s="24"/>
      <c r="G196" s="23"/>
      <c r="H196" s="23"/>
      <c r="I196" s="23"/>
      <c r="J196" s="23"/>
      <c r="K196" s="23"/>
      <c r="L196" s="23"/>
      <c r="M196" s="23"/>
      <c r="N196" s="23"/>
      <c r="O196" s="23"/>
    </row>
    <row r="197">
      <c r="B197" s="23"/>
      <c r="C197" s="23"/>
      <c r="E197" s="24"/>
      <c r="G197" s="23"/>
      <c r="H197" s="23"/>
      <c r="I197" s="23"/>
      <c r="J197" s="23"/>
      <c r="K197" s="23"/>
      <c r="L197" s="23"/>
      <c r="M197" s="23"/>
      <c r="N197" s="23"/>
      <c r="O197" s="23"/>
    </row>
    <row r="198">
      <c r="B198" s="23"/>
      <c r="C198" s="23"/>
      <c r="E198" s="24"/>
      <c r="G198" s="23"/>
      <c r="H198" s="23"/>
      <c r="I198" s="23"/>
      <c r="J198" s="23"/>
      <c r="K198" s="23"/>
      <c r="L198" s="23"/>
      <c r="M198" s="23"/>
      <c r="N198" s="23"/>
      <c r="O198" s="23"/>
    </row>
    <row r="199">
      <c r="B199" s="23"/>
      <c r="C199" s="23"/>
      <c r="E199" s="24"/>
      <c r="G199" s="23"/>
      <c r="H199" s="23"/>
      <c r="I199" s="23"/>
      <c r="J199" s="23"/>
      <c r="K199" s="23"/>
      <c r="L199" s="23"/>
      <c r="M199" s="23"/>
      <c r="N199" s="23"/>
      <c r="O199" s="23"/>
    </row>
    <row r="200">
      <c r="B200" s="23"/>
      <c r="C200" s="23"/>
      <c r="E200" s="24"/>
      <c r="G200" s="23"/>
      <c r="H200" s="23"/>
      <c r="I200" s="23"/>
      <c r="J200" s="23"/>
      <c r="K200" s="23"/>
      <c r="L200" s="23"/>
      <c r="M200" s="23"/>
      <c r="N200" s="23"/>
      <c r="O200" s="23"/>
    </row>
    <row r="201">
      <c r="B201" s="23"/>
      <c r="C201" s="23"/>
      <c r="E201" s="24"/>
      <c r="G201" s="23"/>
      <c r="H201" s="23"/>
      <c r="I201" s="23"/>
      <c r="J201" s="23"/>
      <c r="K201" s="23"/>
      <c r="L201" s="23"/>
      <c r="M201" s="23"/>
      <c r="N201" s="23"/>
      <c r="O201" s="23"/>
    </row>
    <row r="202">
      <c r="B202" s="23"/>
      <c r="C202" s="23"/>
      <c r="E202" s="24"/>
      <c r="G202" s="23"/>
      <c r="H202" s="23"/>
      <c r="I202" s="23"/>
      <c r="J202" s="23"/>
      <c r="K202" s="23"/>
      <c r="L202" s="23"/>
      <c r="M202" s="23"/>
      <c r="N202" s="23"/>
      <c r="O202" s="23"/>
    </row>
    <row r="203">
      <c r="B203" s="23"/>
      <c r="C203" s="23"/>
      <c r="E203" s="24"/>
      <c r="G203" s="23"/>
      <c r="H203" s="23"/>
      <c r="I203" s="23"/>
      <c r="J203" s="23"/>
      <c r="K203" s="23"/>
      <c r="L203" s="23"/>
      <c r="M203" s="23"/>
      <c r="N203" s="23"/>
      <c r="O203" s="23"/>
    </row>
    <row r="204">
      <c r="B204" s="23"/>
      <c r="C204" s="23"/>
      <c r="E204" s="24"/>
      <c r="G204" s="23"/>
      <c r="H204" s="23"/>
      <c r="I204" s="23"/>
      <c r="J204" s="23"/>
      <c r="K204" s="23"/>
      <c r="L204" s="23"/>
      <c r="M204" s="23"/>
      <c r="N204" s="23"/>
      <c r="O204" s="23"/>
    </row>
    <row r="205">
      <c r="B205" s="23"/>
      <c r="C205" s="23"/>
      <c r="E205" s="24"/>
      <c r="G205" s="23"/>
      <c r="H205" s="23"/>
      <c r="I205" s="23"/>
      <c r="J205" s="23"/>
      <c r="K205" s="23"/>
      <c r="L205" s="23"/>
      <c r="M205" s="23"/>
      <c r="N205" s="23"/>
      <c r="O205" s="23"/>
    </row>
    <row r="206">
      <c r="B206" s="23"/>
      <c r="C206" s="23"/>
      <c r="E206" s="24"/>
      <c r="G206" s="23"/>
      <c r="H206" s="23"/>
      <c r="I206" s="23"/>
      <c r="J206" s="23"/>
      <c r="K206" s="23"/>
      <c r="L206" s="23"/>
      <c r="M206" s="23"/>
      <c r="N206" s="23"/>
      <c r="O206" s="23"/>
    </row>
    <row r="207">
      <c r="B207" s="23"/>
      <c r="C207" s="23"/>
      <c r="E207" s="24"/>
      <c r="G207" s="23"/>
      <c r="H207" s="23"/>
      <c r="I207" s="23"/>
      <c r="J207" s="23"/>
      <c r="K207" s="23"/>
      <c r="L207" s="23"/>
      <c r="M207" s="23"/>
      <c r="N207" s="23"/>
      <c r="O207" s="23"/>
    </row>
    <row r="208">
      <c r="B208" s="23"/>
      <c r="C208" s="23"/>
      <c r="E208" s="24"/>
      <c r="G208" s="23"/>
      <c r="H208" s="23"/>
      <c r="I208" s="23"/>
      <c r="J208" s="23"/>
      <c r="K208" s="23"/>
      <c r="L208" s="23"/>
      <c r="M208" s="23"/>
      <c r="N208" s="23"/>
      <c r="O208" s="23"/>
    </row>
    <row r="209">
      <c r="B209" s="23"/>
      <c r="C209" s="23"/>
      <c r="E209" s="24"/>
      <c r="G209" s="23"/>
      <c r="H209" s="23"/>
      <c r="I209" s="23"/>
      <c r="J209" s="23"/>
      <c r="K209" s="23"/>
      <c r="L209" s="23"/>
      <c r="M209" s="23"/>
      <c r="N209" s="23"/>
      <c r="O209" s="23"/>
    </row>
    <row r="210">
      <c r="B210" s="23"/>
      <c r="C210" s="23"/>
      <c r="E210" s="24"/>
      <c r="G210" s="23"/>
      <c r="H210" s="23"/>
      <c r="I210" s="23"/>
      <c r="J210" s="23"/>
      <c r="K210" s="23"/>
      <c r="L210" s="23"/>
      <c r="M210" s="23"/>
      <c r="N210" s="23"/>
      <c r="O210" s="23"/>
    </row>
    <row r="211">
      <c r="B211" s="23"/>
      <c r="C211" s="23"/>
      <c r="E211" s="24"/>
      <c r="G211" s="23"/>
      <c r="H211" s="23"/>
      <c r="I211" s="23"/>
      <c r="J211" s="23"/>
      <c r="K211" s="23"/>
      <c r="L211" s="23"/>
      <c r="M211" s="23"/>
      <c r="N211" s="23"/>
      <c r="O211" s="23"/>
    </row>
    <row r="212">
      <c r="B212" s="23"/>
      <c r="C212" s="23"/>
      <c r="E212" s="24"/>
      <c r="G212" s="23"/>
      <c r="H212" s="23"/>
      <c r="I212" s="23"/>
      <c r="J212" s="23"/>
      <c r="K212" s="23"/>
      <c r="L212" s="23"/>
      <c r="M212" s="23"/>
      <c r="N212" s="23"/>
      <c r="O212" s="23"/>
    </row>
    <row r="213">
      <c r="B213" s="23"/>
      <c r="C213" s="23"/>
      <c r="E213" s="24"/>
      <c r="G213" s="23"/>
      <c r="H213" s="23"/>
      <c r="I213" s="23"/>
      <c r="J213" s="23"/>
      <c r="K213" s="23"/>
      <c r="L213" s="23"/>
      <c r="M213" s="23"/>
      <c r="N213" s="23"/>
      <c r="O213" s="23"/>
    </row>
    <row r="214">
      <c r="B214" s="23"/>
      <c r="C214" s="23"/>
      <c r="E214" s="24"/>
      <c r="G214" s="23"/>
      <c r="H214" s="23"/>
      <c r="I214" s="23"/>
      <c r="J214" s="23"/>
      <c r="K214" s="23"/>
      <c r="L214" s="23"/>
      <c r="M214" s="23"/>
      <c r="N214" s="23"/>
      <c r="O214" s="23"/>
    </row>
    <row r="215">
      <c r="B215" s="23"/>
      <c r="C215" s="23"/>
      <c r="E215" s="24"/>
      <c r="G215" s="23"/>
      <c r="H215" s="23"/>
      <c r="I215" s="23"/>
      <c r="J215" s="23"/>
      <c r="K215" s="23"/>
      <c r="L215" s="23"/>
      <c r="M215" s="23"/>
      <c r="N215" s="23"/>
      <c r="O215" s="23"/>
    </row>
    <row r="216">
      <c r="B216" s="23"/>
      <c r="C216" s="23"/>
      <c r="E216" s="24"/>
      <c r="G216" s="23"/>
      <c r="H216" s="23"/>
      <c r="I216" s="23"/>
      <c r="J216" s="23"/>
      <c r="K216" s="23"/>
      <c r="L216" s="23"/>
      <c r="M216" s="23"/>
      <c r="N216" s="23"/>
      <c r="O216" s="23"/>
    </row>
    <row r="217">
      <c r="B217" s="23"/>
      <c r="C217" s="23"/>
      <c r="E217" s="24"/>
      <c r="G217" s="23"/>
      <c r="H217" s="23"/>
      <c r="I217" s="23"/>
      <c r="J217" s="23"/>
      <c r="K217" s="23"/>
      <c r="L217" s="23"/>
      <c r="M217" s="23"/>
      <c r="N217" s="23"/>
      <c r="O217" s="23"/>
    </row>
    <row r="218">
      <c r="B218" s="23"/>
      <c r="C218" s="23"/>
      <c r="E218" s="24"/>
      <c r="G218" s="23"/>
      <c r="H218" s="23"/>
      <c r="I218" s="23"/>
      <c r="J218" s="23"/>
      <c r="K218" s="23"/>
      <c r="L218" s="23"/>
      <c r="M218" s="23"/>
      <c r="N218" s="23"/>
      <c r="O218" s="23"/>
    </row>
    <row r="219">
      <c r="B219" s="23"/>
      <c r="C219" s="23"/>
      <c r="E219" s="24"/>
      <c r="G219" s="23"/>
      <c r="H219" s="23"/>
      <c r="I219" s="23"/>
      <c r="J219" s="23"/>
      <c r="K219" s="23"/>
      <c r="L219" s="23"/>
      <c r="M219" s="23"/>
      <c r="N219" s="23"/>
      <c r="O219" s="23"/>
    </row>
    <row r="220">
      <c r="B220" s="23"/>
      <c r="C220" s="23"/>
      <c r="E220" s="24"/>
      <c r="G220" s="23"/>
      <c r="H220" s="23"/>
      <c r="I220" s="23"/>
      <c r="J220" s="23"/>
      <c r="K220" s="23"/>
      <c r="L220" s="23"/>
      <c r="M220" s="23"/>
      <c r="N220" s="23"/>
      <c r="O220" s="23"/>
    </row>
    <row r="221">
      <c r="B221" s="23"/>
      <c r="C221" s="23"/>
      <c r="E221" s="24"/>
      <c r="G221" s="23"/>
      <c r="H221" s="23"/>
      <c r="I221" s="23"/>
      <c r="J221" s="23"/>
      <c r="K221" s="23"/>
      <c r="L221" s="23"/>
      <c r="M221" s="23"/>
      <c r="N221" s="23"/>
      <c r="O221" s="23"/>
    </row>
    <row r="222">
      <c r="B222" s="23"/>
      <c r="C222" s="23"/>
      <c r="E222" s="24"/>
      <c r="G222" s="23"/>
      <c r="H222" s="23"/>
      <c r="I222" s="23"/>
      <c r="J222" s="23"/>
      <c r="K222" s="23"/>
      <c r="L222" s="23"/>
      <c r="M222" s="23"/>
      <c r="N222" s="23"/>
      <c r="O222" s="23"/>
    </row>
    <row r="223">
      <c r="B223" s="23"/>
      <c r="C223" s="23"/>
      <c r="E223" s="24"/>
      <c r="G223" s="23"/>
      <c r="H223" s="23"/>
      <c r="I223" s="23"/>
      <c r="J223" s="23"/>
      <c r="K223" s="23"/>
      <c r="L223" s="23"/>
      <c r="M223" s="23"/>
      <c r="N223" s="23"/>
      <c r="O223" s="23"/>
    </row>
    <row r="224">
      <c r="B224" s="23"/>
      <c r="C224" s="23"/>
      <c r="E224" s="24"/>
      <c r="G224" s="23"/>
      <c r="H224" s="23"/>
      <c r="I224" s="23"/>
      <c r="J224" s="23"/>
      <c r="K224" s="23"/>
      <c r="L224" s="23"/>
      <c r="M224" s="23"/>
      <c r="N224" s="23"/>
      <c r="O224" s="23"/>
    </row>
    <row r="225">
      <c r="B225" s="23"/>
      <c r="C225" s="23"/>
      <c r="E225" s="24"/>
      <c r="G225" s="23"/>
      <c r="H225" s="23"/>
      <c r="I225" s="23"/>
      <c r="J225" s="23"/>
      <c r="K225" s="23"/>
      <c r="L225" s="23"/>
      <c r="M225" s="23"/>
      <c r="N225" s="23"/>
      <c r="O225" s="23"/>
    </row>
    <row r="226">
      <c r="B226" s="23"/>
      <c r="C226" s="23"/>
      <c r="E226" s="24"/>
      <c r="G226" s="23"/>
      <c r="H226" s="23"/>
      <c r="I226" s="23"/>
      <c r="J226" s="23"/>
      <c r="K226" s="23"/>
      <c r="L226" s="23"/>
      <c r="M226" s="23"/>
      <c r="N226" s="23"/>
      <c r="O226" s="23"/>
    </row>
    <row r="227">
      <c r="B227" s="23"/>
      <c r="C227" s="23"/>
      <c r="E227" s="24"/>
      <c r="G227" s="23"/>
      <c r="H227" s="23"/>
      <c r="I227" s="23"/>
      <c r="J227" s="23"/>
      <c r="K227" s="23"/>
      <c r="L227" s="23"/>
      <c r="M227" s="23"/>
      <c r="N227" s="23"/>
      <c r="O227" s="23"/>
    </row>
    <row r="228">
      <c r="B228" s="23"/>
      <c r="C228" s="23"/>
      <c r="E228" s="24"/>
      <c r="G228" s="23"/>
      <c r="H228" s="23"/>
      <c r="I228" s="23"/>
      <c r="J228" s="23"/>
      <c r="K228" s="23"/>
      <c r="L228" s="23"/>
      <c r="M228" s="23"/>
      <c r="N228" s="23"/>
      <c r="O228" s="23"/>
    </row>
    <row r="229">
      <c r="B229" s="23"/>
      <c r="C229" s="23"/>
      <c r="E229" s="24"/>
      <c r="G229" s="23"/>
      <c r="H229" s="23"/>
      <c r="I229" s="23"/>
      <c r="J229" s="23"/>
      <c r="K229" s="23"/>
      <c r="L229" s="23"/>
      <c r="M229" s="23"/>
      <c r="N229" s="23"/>
      <c r="O229" s="23"/>
    </row>
    <row r="230">
      <c r="B230" s="23"/>
      <c r="C230" s="23"/>
      <c r="E230" s="24"/>
      <c r="G230" s="23"/>
      <c r="H230" s="23"/>
      <c r="I230" s="23"/>
      <c r="J230" s="23"/>
      <c r="K230" s="23"/>
      <c r="L230" s="23"/>
      <c r="M230" s="23"/>
      <c r="N230" s="23"/>
      <c r="O230" s="23"/>
    </row>
    <row r="231">
      <c r="B231" s="23"/>
      <c r="C231" s="23"/>
      <c r="E231" s="24"/>
      <c r="G231" s="23"/>
      <c r="H231" s="23"/>
      <c r="I231" s="23"/>
      <c r="J231" s="23"/>
      <c r="K231" s="23"/>
      <c r="L231" s="23"/>
      <c r="M231" s="23"/>
      <c r="N231" s="23"/>
      <c r="O231" s="23"/>
    </row>
    <row r="232">
      <c r="B232" s="23"/>
      <c r="C232" s="23"/>
      <c r="E232" s="24"/>
      <c r="G232" s="23"/>
      <c r="H232" s="23"/>
      <c r="I232" s="23"/>
      <c r="J232" s="23"/>
      <c r="K232" s="23"/>
      <c r="L232" s="23"/>
      <c r="M232" s="23"/>
      <c r="N232" s="23"/>
      <c r="O232" s="23"/>
    </row>
    <row r="233">
      <c r="B233" s="23"/>
      <c r="C233" s="23"/>
      <c r="E233" s="24"/>
      <c r="G233" s="23"/>
      <c r="H233" s="23"/>
      <c r="I233" s="23"/>
      <c r="J233" s="23"/>
      <c r="K233" s="23"/>
      <c r="L233" s="23"/>
      <c r="M233" s="23"/>
      <c r="N233" s="23"/>
      <c r="O233" s="23"/>
    </row>
    <row r="234">
      <c r="B234" s="23"/>
      <c r="C234" s="23"/>
      <c r="E234" s="24"/>
      <c r="G234" s="23"/>
      <c r="H234" s="23"/>
      <c r="I234" s="23"/>
      <c r="J234" s="23"/>
      <c r="K234" s="23"/>
      <c r="L234" s="23"/>
      <c r="M234" s="23"/>
      <c r="N234" s="23"/>
      <c r="O234" s="23"/>
    </row>
    <row r="235">
      <c r="B235" s="23"/>
      <c r="C235" s="23"/>
      <c r="E235" s="24"/>
      <c r="G235" s="23"/>
      <c r="H235" s="23"/>
      <c r="I235" s="23"/>
      <c r="J235" s="23"/>
      <c r="K235" s="23"/>
      <c r="L235" s="23"/>
      <c r="M235" s="23"/>
      <c r="N235" s="23"/>
      <c r="O235" s="23"/>
    </row>
    <row r="236">
      <c r="B236" s="23"/>
      <c r="C236" s="23"/>
      <c r="E236" s="24"/>
      <c r="G236" s="23"/>
      <c r="H236" s="23"/>
      <c r="I236" s="23"/>
      <c r="J236" s="23"/>
      <c r="K236" s="23"/>
      <c r="L236" s="23"/>
      <c r="M236" s="23"/>
      <c r="N236" s="23"/>
      <c r="O236" s="23"/>
    </row>
    <row r="237">
      <c r="B237" s="23"/>
      <c r="C237" s="23"/>
      <c r="E237" s="24"/>
      <c r="G237" s="23"/>
      <c r="H237" s="23"/>
      <c r="I237" s="23"/>
      <c r="J237" s="23"/>
      <c r="K237" s="23"/>
      <c r="L237" s="23"/>
      <c r="M237" s="23"/>
      <c r="N237" s="23"/>
      <c r="O237" s="23"/>
    </row>
    <row r="238">
      <c r="B238" s="23"/>
      <c r="C238" s="23"/>
      <c r="E238" s="24"/>
      <c r="G238" s="23"/>
      <c r="H238" s="23"/>
      <c r="I238" s="23"/>
      <c r="J238" s="23"/>
      <c r="K238" s="23"/>
      <c r="L238" s="23"/>
      <c r="M238" s="23"/>
      <c r="N238" s="23"/>
      <c r="O238" s="23"/>
    </row>
    <row r="239">
      <c r="B239" s="23"/>
      <c r="C239" s="23"/>
      <c r="E239" s="24"/>
      <c r="G239" s="23"/>
      <c r="H239" s="23"/>
      <c r="I239" s="23"/>
      <c r="J239" s="23"/>
      <c r="K239" s="23"/>
      <c r="L239" s="23"/>
      <c r="M239" s="23"/>
      <c r="N239" s="23"/>
      <c r="O239" s="23"/>
    </row>
    <row r="240">
      <c r="B240" s="23"/>
      <c r="C240" s="23"/>
      <c r="E240" s="24"/>
      <c r="G240" s="23"/>
      <c r="H240" s="23"/>
      <c r="I240" s="23"/>
      <c r="J240" s="23"/>
      <c r="K240" s="23"/>
      <c r="L240" s="23"/>
      <c r="M240" s="23"/>
      <c r="N240" s="23"/>
      <c r="O240" s="23"/>
    </row>
    <row r="241">
      <c r="B241" s="23"/>
      <c r="C241" s="23"/>
      <c r="E241" s="24"/>
      <c r="G241" s="23"/>
      <c r="H241" s="23"/>
      <c r="I241" s="23"/>
      <c r="J241" s="23"/>
      <c r="K241" s="23"/>
      <c r="L241" s="23"/>
      <c r="M241" s="23"/>
      <c r="N241" s="23"/>
      <c r="O241" s="23"/>
    </row>
    <row r="242">
      <c r="B242" s="23"/>
      <c r="C242" s="23"/>
      <c r="E242" s="24"/>
      <c r="G242" s="23"/>
      <c r="H242" s="23"/>
      <c r="I242" s="23"/>
      <c r="J242" s="23"/>
      <c r="K242" s="23"/>
      <c r="L242" s="23"/>
      <c r="M242" s="23"/>
      <c r="N242" s="23"/>
      <c r="O242" s="23"/>
    </row>
    <row r="243">
      <c r="B243" s="23"/>
      <c r="C243" s="23"/>
      <c r="E243" s="24"/>
      <c r="G243" s="23"/>
      <c r="H243" s="23"/>
      <c r="I243" s="23"/>
      <c r="J243" s="23"/>
      <c r="K243" s="23"/>
      <c r="L243" s="23"/>
      <c r="M243" s="23"/>
      <c r="N243" s="23"/>
      <c r="O243" s="23"/>
    </row>
    <row r="244">
      <c r="B244" s="23"/>
      <c r="C244" s="23"/>
      <c r="E244" s="24"/>
      <c r="G244" s="23"/>
      <c r="H244" s="23"/>
      <c r="I244" s="23"/>
      <c r="J244" s="23"/>
      <c r="K244" s="23"/>
      <c r="L244" s="23"/>
      <c r="M244" s="23"/>
      <c r="N244" s="23"/>
      <c r="O244" s="23"/>
    </row>
    <row r="245">
      <c r="B245" s="23"/>
      <c r="C245" s="23"/>
      <c r="E245" s="24"/>
      <c r="G245" s="23"/>
      <c r="H245" s="23"/>
      <c r="I245" s="23"/>
      <c r="J245" s="23"/>
      <c r="K245" s="23"/>
      <c r="L245" s="23"/>
      <c r="M245" s="23"/>
      <c r="N245" s="23"/>
      <c r="O245" s="23"/>
    </row>
    <row r="246">
      <c r="B246" s="23"/>
      <c r="C246" s="23"/>
      <c r="E246" s="24"/>
      <c r="G246" s="23"/>
      <c r="H246" s="23"/>
      <c r="I246" s="23"/>
      <c r="J246" s="23"/>
      <c r="K246" s="23"/>
      <c r="L246" s="23"/>
      <c r="M246" s="23"/>
      <c r="N246" s="23"/>
      <c r="O246" s="23"/>
    </row>
    <row r="247">
      <c r="B247" s="23"/>
      <c r="C247" s="23"/>
      <c r="E247" s="24"/>
      <c r="G247" s="23"/>
      <c r="H247" s="23"/>
      <c r="I247" s="23"/>
      <c r="J247" s="23"/>
      <c r="K247" s="23"/>
      <c r="L247" s="23"/>
      <c r="M247" s="23"/>
      <c r="N247" s="23"/>
      <c r="O247" s="23"/>
    </row>
    <row r="248">
      <c r="B248" s="23"/>
      <c r="C248" s="23"/>
      <c r="E248" s="24"/>
      <c r="G248" s="23"/>
      <c r="H248" s="23"/>
      <c r="I248" s="23"/>
      <c r="J248" s="23"/>
      <c r="K248" s="23"/>
      <c r="L248" s="23"/>
      <c r="M248" s="23"/>
      <c r="N248" s="23"/>
      <c r="O248" s="23"/>
    </row>
    <row r="249">
      <c r="B249" s="23"/>
      <c r="C249" s="23"/>
      <c r="E249" s="24"/>
      <c r="G249" s="23"/>
      <c r="H249" s="23"/>
      <c r="I249" s="23"/>
      <c r="J249" s="23"/>
      <c r="K249" s="23"/>
      <c r="L249" s="23"/>
      <c r="M249" s="23"/>
      <c r="N249" s="23"/>
      <c r="O249" s="23"/>
    </row>
    <row r="250">
      <c r="B250" s="23"/>
      <c r="C250" s="23"/>
      <c r="E250" s="24"/>
      <c r="G250" s="23"/>
      <c r="H250" s="23"/>
      <c r="I250" s="23"/>
      <c r="J250" s="23"/>
      <c r="K250" s="23"/>
      <c r="L250" s="23"/>
      <c r="M250" s="23"/>
      <c r="N250" s="23"/>
      <c r="O250" s="23"/>
    </row>
    <row r="251">
      <c r="B251" s="23"/>
      <c r="C251" s="23"/>
      <c r="E251" s="24"/>
      <c r="G251" s="23"/>
      <c r="H251" s="23"/>
      <c r="I251" s="23"/>
      <c r="J251" s="23"/>
      <c r="K251" s="23"/>
      <c r="L251" s="23"/>
      <c r="M251" s="23"/>
      <c r="N251" s="23"/>
      <c r="O251" s="23"/>
    </row>
    <row r="252">
      <c r="B252" s="23"/>
      <c r="C252" s="23"/>
      <c r="E252" s="24"/>
      <c r="G252" s="23"/>
      <c r="H252" s="23"/>
      <c r="I252" s="23"/>
      <c r="J252" s="23"/>
      <c r="K252" s="23"/>
      <c r="L252" s="23"/>
      <c r="M252" s="23"/>
      <c r="N252" s="23"/>
      <c r="O252" s="23"/>
    </row>
    <row r="253">
      <c r="B253" s="23"/>
      <c r="C253" s="23"/>
      <c r="E253" s="24"/>
      <c r="G253" s="23"/>
      <c r="H253" s="23"/>
      <c r="I253" s="23"/>
      <c r="J253" s="23"/>
      <c r="K253" s="23"/>
      <c r="L253" s="23"/>
      <c r="M253" s="23"/>
      <c r="N253" s="23"/>
      <c r="O253" s="23"/>
    </row>
    <row r="254">
      <c r="B254" s="23"/>
      <c r="C254" s="23"/>
      <c r="E254" s="24"/>
      <c r="G254" s="23"/>
      <c r="H254" s="23"/>
      <c r="I254" s="23"/>
      <c r="J254" s="23"/>
      <c r="K254" s="23"/>
      <c r="L254" s="23"/>
      <c r="M254" s="23"/>
      <c r="N254" s="23"/>
      <c r="O254" s="23"/>
    </row>
    <row r="255">
      <c r="B255" s="23"/>
      <c r="C255" s="23"/>
      <c r="E255" s="24"/>
      <c r="G255" s="23"/>
      <c r="H255" s="23"/>
      <c r="I255" s="23"/>
      <c r="J255" s="23"/>
      <c r="K255" s="23"/>
      <c r="L255" s="23"/>
      <c r="M255" s="23"/>
      <c r="N255" s="23"/>
      <c r="O255" s="23"/>
    </row>
    <row r="256">
      <c r="B256" s="23"/>
      <c r="C256" s="23"/>
      <c r="E256" s="24"/>
      <c r="G256" s="23"/>
      <c r="H256" s="23"/>
      <c r="I256" s="23"/>
      <c r="J256" s="23"/>
      <c r="K256" s="23"/>
      <c r="L256" s="23"/>
      <c r="M256" s="23"/>
      <c r="N256" s="23"/>
      <c r="O256" s="23"/>
    </row>
    <row r="257">
      <c r="B257" s="23"/>
      <c r="C257" s="23"/>
      <c r="E257" s="24"/>
      <c r="G257" s="23"/>
      <c r="H257" s="23"/>
      <c r="I257" s="23"/>
      <c r="J257" s="23"/>
      <c r="K257" s="23"/>
      <c r="L257" s="23"/>
      <c r="M257" s="23"/>
      <c r="N257" s="23"/>
      <c r="O257" s="23"/>
    </row>
    <row r="258">
      <c r="B258" s="23"/>
      <c r="C258" s="23"/>
      <c r="E258" s="24"/>
      <c r="G258" s="23"/>
      <c r="H258" s="23"/>
      <c r="I258" s="23"/>
      <c r="J258" s="23"/>
      <c r="K258" s="23"/>
      <c r="L258" s="23"/>
      <c r="M258" s="23"/>
      <c r="N258" s="23"/>
      <c r="O258" s="23"/>
    </row>
    <row r="259">
      <c r="B259" s="23"/>
      <c r="C259" s="23"/>
      <c r="E259" s="24"/>
      <c r="G259" s="23"/>
      <c r="H259" s="23"/>
      <c r="I259" s="23"/>
      <c r="J259" s="23"/>
      <c r="K259" s="23"/>
      <c r="L259" s="23"/>
      <c r="M259" s="23"/>
      <c r="N259" s="23"/>
      <c r="O259" s="23"/>
    </row>
    <row r="260">
      <c r="B260" s="23"/>
      <c r="C260" s="23"/>
      <c r="E260" s="24"/>
      <c r="G260" s="23"/>
      <c r="H260" s="23"/>
      <c r="I260" s="23"/>
      <c r="J260" s="23"/>
      <c r="K260" s="23"/>
      <c r="L260" s="23"/>
      <c r="M260" s="23"/>
      <c r="N260" s="23"/>
      <c r="O260" s="23"/>
    </row>
    <row r="261">
      <c r="B261" s="23"/>
      <c r="C261" s="23"/>
      <c r="E261" s="24"/>
      <c r="G261" s="23"/>
      <c r="H261" s="23"/>
      <c r="I261" s="23"/>
      <c r="J261" s="23"/>
      <c r="K261" s="23"/>
      <c r="L261" s="23"/>
      <c r="M261" s="23"/>
      <c r="N261" s="23"/>
      <c r="O261" s="23"/>
    </row>
    <row r="262">
      <c r="B262" s="23"/>
      <c r="C262" s="23"/>
      <c r="E262" s="24"/>
      <c r="G262" s="23"/>
      <c r="H262" s="23"/>
      <c r="I262" s="23"/>
      <c r="J262" s="23"/>
      <c r="K262" s="23"/>
      <c r="L262" s="23"/>
      <c r="M262" s="23"/>
      <c r="N262" s="23"/>
      <c r="O262" s="23"/>
    </row>
    <row r="263">
      <c r="B263" s="23"/>
      <c r="C263" s="23"/>
      <c r="E263" s="24"/>
      <c r="G263" s="23"/>
      <c r="H263" s="23"/>
      <c r="I263" s="23"/>
      <c r="J263" s="23"/>
      <c r="K263" s="23"/>
      <c r="L263" s="23"/>
      <c r="M263" s="23"/>
      <c r="N263" s="23"/>
      <c r="O263" s="23"/>
    </row>
    <row r="264">
      <c r="B264" s="23"/>
      <c r="C264" s="23"/>
      <c r="E264" s="24"/>
      <c r="G264" s="23"/>
      <c r="H264" s="23"/>
      <c r="I264" s="23"/>
      <c r="J264" s="23"/>
      <c r="K264" s="23"/>
      <c r="L264" s="23"/>
      <c r="M264" s="23"/>
      <c r="N264" s="23"/>
      <c r="O264" s="23"/>
    </row>
    <row r="265">
      <c r="B265" s="23"/>
      <c r="C265" s="23"/>
      <c r="E265" s="24"/>
      <c r="G265" s="23"/>
      <c r="H265" s="23"/>
      <c r="I265" s="23"/>
      <c r="J265" s="23"/>
      <c r="K265" s="23"/>
      <c r="L265" s="23"/>
      <c r="M265" s="23"/>
      <c r="N265" s="23"/>
      <c r="O265" s="23"/>
    </row>
    <row r="266">
      <c r="B266" s="23"/>
      <c r="C266" s="23"/>
      <c r="E266" s="24"/>
      <c r="G266" s="23"/>
      <c r="H266" s="23"/>
      <c r="I266" s="23"/>
      <c r="J266" s="23"/>
      <c r="K266" s="23"/>
      <c r="L266" s="23"/>
      <c r="M266" s="23"/>
      <c r="N266" s="23"/>
      <c r="O266" s="23"/>
    </row>
    <row r="267">
      <c r="B267" s="23"/>
      <c r="C267" s="23"/>
      <c r="E267" s="24"/>
      <c r="G267" s="23"/>
      <c r="H267" s="23"/>
      <c r="I267" s="23"/>
      <c r="J267" s="23"/>
      <c r="K267" s="23"/>
      <c r="L267" s="23"/>
      <c r="M267" s="23"/>
      <c r="N267" s="23"/>
      <c r="O267" s="23"/>
    </row>
    <row r="268">
      <c r="B268" s="23"/>
      <c r="C268" s="23"/>
      <c r="E268" s="24"/>
      <c r="G268" s="23"/>
      <c r="H268" s="23"/>
      <c r="I268" s="23"/>
      <c r="J268" s="23"/>
      <c r="K268" s="23"/>
      <c r="L268" s="23"/>
      <c r="M268" s="23"/>
      <c r="N268" s="23"/>
      <c r="O268" s="23"/>
    </row>
    <row r="269">
      <c r="B269" s="23"/>
      <c r="C269" s="23"/>
      <c r="E269" s="24"/>
      <c r="G269" s="23"/>
      <c r="H269" s="23"/>
      <c r="I269" s="23"/>
      <c r="J269" s="23"/>
      <c r="K269" s="23"/>
      <c r="L269" s="23"/>
      <c r="M269" s="23"/>
      <c r="N269" s="23"/>
      <c r="O269" s="23"/>
    </row>
    <row r="270">
      <c r="B270" s="23"/>
      <c r="C270" s="23"/>
      <c r="E270" s="24"/>
      <c r="G270" s="23"/>
      <c r="H270" s="23"/>
      <c r="I270" s="23"/>
      <c r="J270" s="23"/>
      <c r="K270" s="23"/>
      <c r="L270" s="23"/>
      <c r="M270" s="23"/>
      <c r="N270" s="23"/>
      <c r="O270" s="23"/>
    </row>
    <row r="271">
      <c r="B271" s="23"/>
      <c r="C271" s="23"/>
      <c r="E271" s="24"/>
      <c r="G271" s="23"/>
      <c r="H271" s="23"/>
      <c r="I271" s="23"/>
      <c r="J271" s="23"/>
      <c r="K271" s="23"/>
      <c r="L271" s="23"/>
      <c r="M271" s="23"/>
      <c r="N271" s="23"/>
      <c r="O271" s="23"/>
    </row>
    <row r="272">
      <c r="B272" s="23"/>
      <c r="C272" s="23"/>
      <c r="E272" s="24"/>
      <c r="G272" s="23"/>
      <c r="H272" s="23"/>
      <c r="I272" s="23"/>
      <c r="J272" s="23"/>
      <c r="K272" s="23"/>
      <c r="L272" s="23"/>
      <c r="M272" s="23"/>
      <c r="N272" s="23"/>
      <c r="O272" s="23"/>
    </row>
    <row r="273">
      <c r="B273" s="23"/>
      <c r="C273" s="23"/>
      <c r="E273" s="24"/>
      <c r="G273" s="23"/>
      <c r="H273" s="23"/>
      <c r="I273" s="23"/>
      <c r="J273" s="23"/>
      <c r="K273" s="23"/>
      <c r="L273" s="23"/>
      <c r="M273" s="23"/>
      <c r="N273" s="23"/>
      <c r="O273" s="23"/>
    </row>
    <row r="274">
      <c r="B274" s="23"/>
      <c r="C274" s="23"/>
      <c r="E274" s="24"/>
      <c r="G274" s="23"/>
      <c r="H274" s="23"/>
      <c r="I274" s="23"/>
      <c r="J274" s="23"/>
      <c r="K274" s="23"/>
      <c r="L274" s="23"/>
      <c r="M274" s="23"/>
      <c r="N274" s="23"/>
      <c r="O274" s="23"/>
    </row>
    <row r="275">
      <c r="B275" s="23"/>
      <c r="C275" s="23"/>
      <c r="E275" s="24"/>
      <c r="G275" s="23"/>
      <c r="H275" s="23"/>
      <c r="I275" s="23"/>
      <c r="J275" s="23"/>
      <c r="K275" s="23"/>
      <c r="L275" s="23"/>
      <c r="M275" s="23"/>
      <c r="N275" s="23"/>
      <c r="O275" s="23"/>
    </row>
    <row r="276">
      <c r="B276" s="23"/>
      <c r="C276" s="23"/>
      <c r="E276" s="24"/>
      <c r="G276" s="23"/>
      <c r="H276" s="23"/>
      <c r="I276" s="23"/>
      <c r="J276" s="23"/>
      <c r="K276" s="23"/>
      <c r="L276" s="23"/>
      <c r="M276" s="23"/>
      <c r="N276" s="23"/>
      <c r="O276" s="23"/>
    </row>
    <row r="277">
      <c r="B277" s="23"/>
      <c r="C277" s="23"/>
      <c r="E277" s="24"/>
      <c r="G277" s="23"/>
      <c r="H277" s="23"/>
      <c r="I277" s="23"/>
      <c r="J277" s="23"/>
      <c r="K277" s="23"/>
      <c r="L277" s="23"/>
      <c r="M277" s="23"/>
      <c r="N277" s="23"/>
      <c r="O277" s="23"/>
    </row>
    <row r="278">
      <c r="B278" s="23"/>
      <c r="C278" s="23"/>
      <c r="E278" s="24"/>
      <c r="G278" s="23"/>
      <c r="H278" s="23"/>
      <c r="I278" s="23"/>
      <c r="J278" s="23"/>
      <c r="K278" s="23"/>
      <c r="L278" s="23"/>
      <c r="M278" s="23"/>
      <c r="N278" s="23"/>
      <c r="O278" s="23"/>
    </row>
    <row r="279">
      <c r="B279" s="23"/>
      <c r="C279" s="23"/>
      <c r="E279" s="24"/>
      <c r="G279" s="23"/>
      <c r="H279" s="23"/>
      <c r="I279" s="23"/>
      <c r="J279" s="23"/>
      <c r="K279" s="23"/>
      <c r="L279" s="23"/>
      <c r="M279" s="23"/>
      <c r="N279" s="23"/>
      <c r="O279" s="23"/>
    </row>
    <row r="280">
      <c r="B280" s="23"/>
      <c r="C280" s="23"/>
      <c r="E280" s="24"/>
      <c r="G280" s="23"/>
      <c r="H280" s="23"/>
      <c r="I280" s="23"/>
      <c r="J280" s="23"/>
      <c r="K280" s="23"/>
      <c r="L280" s="23"/>
      <c r="M280" s="23"/>
      <c r="N280" s="23"/>
      <c r="O280" s="23"/>
    </row>
    <row r="281">
      <c r="B281" s="23"/>
      <c r="C281" s="23"/>
      <c r="E281" s="24"/>
      <c r="G281" s="23"/>
      <c r="H281" s="23"/>
      <c r="I281" s="23"/>
      <c r="J281" s="23"/>
      <c r="K281" s="23"/>
      <c r="L281" s="23"/>
      <c r="M281" s="23"/>
      <c r="N281" s="23"/>
      <c r="O281" s="23"/>
    </row>
    <row r="282">
      <c r="B282" s="23"/>
      <c r="C282" s="23"/>
      <c r="E282" s="24"/>
      <c r="G282" s="23"/>
      <c r="H282" s="23"/>
      <c r="I282" s="23"/>
      <c r="J282" s="23"/>
      <c r="K282" s="23"/>
      <c r="L282" s="23"/>
      <c r="M282" s="23"/>
      <c r="N282" s="23"/>
      <c r="O282" s="23"/>
    </row>
    <row r="283">
      <c r="B283" s="23"/>
      <c r="C283" s="23"/>
      <c r="E283" s="24"/>
      <c r="G283" s="23"/>
      <c r="H283" s="23"/>
      <c r="I283" s="23"/>
      <c r="J283" s="23"/>
      <c r="K283" s="23"/>
      <c r="L283" s="23"/>
      <c r="M283" s="23"/>
      <c r="N283" s="23"/>
      <c r="O283" s="23"/>
    </row>
    <row r="284">
      <c r="B284" s="23"/>
      <c r="C284" s="23"/>
      <c r="E284" s="24"/>
      <c r="G284" s="23"/>
      <c r="H284" s="23"/>
      <c r="I284" s="23"/>
      <c r="J284" s="23"/>
      <c r="K284" s="23"/>
      <c r="L284" s="23"/>
      <c r="M284" s="23"/>
      <c r="N284" s="23"/>
      <c r="O284" s="23"/>
    </row>
    <row r="285">
      <c r="B285" s="23"/>
      <c r="C285" s="23"/>
      <c r="E285" s="24"/>
      <c r="G285" s="23"/>
      <c r="H285" s="23"/>
      <c r="I285" s="23"/>
      <c r="J285" s="23"/>
      <c r="K285" s="23"/>
      <c r="L285" s="23"/>
      <c r="M285" s="23"/>
      <c r="N285" s="23"/>
      <c r="O285" s="23"/>
    </row>
    <row r="286">
      <c r="B286" s="23"/>
      <c r="C286" s="23"/>
      <c r="E286" s="24"/>
      <c r="G286" s="23"/>
      <c r="H286" s="23"/>
      <c r="I286" s="23"/>
      <c r="J286" s="23"/>
      <c r="K286" s="23"/>
      <c r="L286" s="23"/>
      <c r="M286" s="23"/>
      <c r="N286" s="23"/>
      <c r="O286" s="23"/>
    </row>
    <row r="287">
      <c r="B287" s="23"/>
      <c r="C287" s="23"/>
      <c r="E287" s="24"/>
      <c r="G287" s="23"/>
      <c r="H287" s="23"/>
      <c r="I287" s="23"/>
      <c r="J287" s="23"/>
      <c r="K287" s="23"/>
      <c r="L287" s="23"/>
      <c r="M287" s="23"/>
      <c r="N287" s="23"/>
      <c r="O287" s="23"/>
    </row>
    <row r="288">
      <c r="B288" s="23"/>
      <c r="C288" s="23"/>
      <c r="E288" s="24"/>
      <c r="G288" s="23"/>
      <c r="H288" s="23"/>
      <c r="I288" s="23"/>
      <c r="J288" s="23"/>
      <c r="K288" s="23"/>
      <c r="L288" s="23"/>
      <c r="M288" s="23"/>
      <c r="N288" s="23"/>
      <c r="O288" s="23"/>
    </row>
    <row r="289">
      <c r="B289" s="23"/>
      <c r="C289" s="23"/>
      <c r="E289" s="24"/>
      <c r="G289" s="23"/>
      <c r="H289" s="23"/>
      <c r="I289" s="23"/>
      <c r="J289" s="23"/>
      <c r="K289" s="23"/>
      <c r="L289" s="23"/>
      <c r="M289" s="23"/>
      <c r="N289" s="23"/>
      <c r="O289" s="23"/>
    </row>
    <row r="290">
      <c r="B290" s="23"/>
      <c r="C290" s="23"/>
      <c r="E290" s="24"/>
      <c r="G290" s="23"/>
      <c r="H290" s="23"/>
      <c r="I290" s="23"/>
      <c r="J290" s="23"/>
      <c r="K290" s="23"/>
      <c r="L290" s="23"/>
      <c r="M290" s="23"/>
      <c r="N290" s="23"/>
      <c r="O290" s="23"/>
    </row>
    <row r="291">
      <c r="B291" s="23"/>
      <c r="C291" s="23"/>
      <c r="E291" s="24"/>
      <c r="G291" s="23"/>
      <c r="H291" s="23"/>
      <c r="I291" s="23"/>
      <c r="J291" s="23"/>
      <c r="K291" s="23"/>
      <c r="L291" s="23"/>
      <c r="M291" s="23"/>
      <c r="N291" s="23"/>
      <c r="O291" s="23"/>
    </row>
    <row r="292">
      <c r="B292" s="23"/>
      <c r="C292" s="23"/>
      <c r="E292" s="24"/>
      <c r="G292" s="23"/>
      <c r="H292" s="23"/>
      <c r="I292" s="23"/>
      <c r="J292" s="23"/>
      <c r="K292" s="23"/>
      <c r="L292" s="23"/>
      <c r="M292" s="23"/>
      <c r="N292" s="23"/>
      <c r="O292" s="23"/>
    </row>
    <row r="293">
      <c r="B293" s="23"/>
      <c r="C293" s="23"/>
      <c r="E293" s="24"/>
      <c r="G293" s="23"/>
      <c r="H293" s="23"/>
      <c r="I293" s="23"/>
      <c r="J293" s="23"/>
      <c r="K293" s="23"/>
      <c r="L293" s="23"/>
      <c r="M293" s="23"/>
      <c r="N293" s="23"/>
      <c r="O293" s="23"/>
    </row>
    <row r="294">
      <c r="B294" s="23"/>
      <c r="C294" s="23"/>
      <c r="E294" s="24"/>
      <c r="G294" s="23"/>
      <c r="H294" s="23"/>
      <c r="I294" s="23"/>
      <c r="J294" s="23"/>
      <c r="K294" s="23"/>
      <c r="L294" s="23"/>
      <c r="M294" s="23"/>
      <c r="N294" s="23"/>
      <c r="O294" s="23"/>
    </row>
    <row r="295">
      <c r="B295" s="23"/>
      <c r="C295" s="23"/>
      <c r="E295" s="24"/>
      <c r="G295" s="23"/>
      <c r="H295" s="23"/>
      <c r="I295" s="23"/>
      <c r="J295" s="23"/>
      <c r="K295" s="23"/>
      <c r="L295" s="23"/>
      <c r="M295" s="23"/>
      <c r="N295" s="23"/>
      <c r="O295" s="23"/>
    </row>
    <row r="296">
      <c r="B296" s="23"/>
      <c r="C296" s="23"/>
      <c r="E296" s="24"/>
      <c r="G296" s="23"/>
      <c r="H296" s="23"/>
      <c r="I296" s="23"/>
      <c r="J296" s="23"/>
      <c r="K296" s="23"/>
      <c r="L296" s="23"/>
      <c r="M296" s="23"/>
      <c r="N296" s="23"/>
      <c r="O296" s="23"/>
    </row>
    <row r="297">
      <c r="B297" s="23"/>
      <c r="C297" s="23"/>
      <c r="E297" s="24"/>
      <c r="G297" s="23"/>
      <c r="H297" s="23"/>
      <c r="I297" s="23"/>
      <c r="J297" s="23"/>
      <c r="K297" s="23"/>
      <c r="L297" s="23"/>
      <c r="M297" s="23"/>
      <c r="N297" s="23"/>
      <c r="O297" s="23"/>
    </row>
    <row r="298">
      <c r="B298" s="23"/>
      <c r="C298" s="23"/>
      <c r="E298" s="24"/>
      <c r="G298" s="23"/>
      <c r="H298" s="23"/>
      <c r="I298" s="23"/>
      <c r="J298" s="23"/>
      <c r="K298" s="23"/>
      <c r="L298" s="23"/>
      <c r="M298" s="23"/>
      <c r="N298" s="23"/>
      <c r="O298" s="23"/>
    </row>
    <row r="299">
      <c r="B299" s="23"/>
      <c r="C299" s="23"/>
      <c r="E299" s="24"/>
      <c r="G299" s="23"/>
      <c r="H299" s="23"/>
      <c r="I299" s="23"/>
      <c r="J299" s="23"/>
      <c r="K299" s="23"/>
      <c r="L299" s="23"/>
      <c r="M299" s="23"/>
      <c r="N299" s="23"/>
      <c r="O299" s="23"/>
    </row>
    <row r="300">
      <c r="B300" s="23"/>
      <c r="C300" s="23"/>
      <c r="E300" s="24"/>
      <c r="G300" s="23"/>
      <c r="H300" s="23"/>
      <c r="I300" s="23"/>
      <c r="J300" s="23"/>
      <c r="K300" s="23"/>
      <c r="L300" s="23"/>
      <c r="M300" s="23"/>
      <c r="N300" s="23"/>
      <c r="O300" s="23"/>
    </row>
    <row r="301">
      <c r="B301" s="23"/>
      <c r="C301" s="23"/>
      <c r="E301" s="24"/>
      <c r="G301" s="23"/>
      <c r="H301" s="23"/>
      <c r="I301" s="23"/>
      <c r="J301" s="23"/>
      <c r="K301" s="23"/>
      <c r="L301" s="23"/>
      <c r="M301" s="23"/>
      <c r="N301" s="23"/>
      <c r="O301" s="23"/>
    </row>
    <row r="302">
      <c r="B302" s="23"/>
      <c r="C302" s="23"/>
      <c r="E302" s="24"/>
      <c r="G302" s="23"/>
      <c r="H302" s="23"/>
      <c r="I302" s="23"/>
      <c r="J302" s="23"/>
      <c r="K302" s="23"/>
      <c r="L302" s="23"/>
      <c r="M302" s="23"/>
      <c r="N302" s="23"/>
      <c r="O302" s="23"/>
    </row>
    <row r="303">
      <c r="B303" s="23"/>
      <c r="C303" s="23"/>
      <c r="E303" s="24"/>
      <c r="G303" s="23"/>
      <c r="H303" s="23"/>
      <c r="I303" s="23"/>
      <c r="J303" s="23"/>
      <c r="K303" s="23"/>
      <c r="L303" s="23"/>
      <c r="M303" s="23"/>
      <c r="N303" s="23"/>
      <c r="O303" s="23"/>
    </row>
    <row r="304">
      <c r="B304" s="23"/>
      <c r="C304" s="23"/>
      <c r="E304" s="24"/>
      <c r="G304" s="23"/>
      <c r="H304" s="23"/>
      <c r="I304" s="23"/>
      <c r="J304" s="23"/>
      <c r="K304" s="23"/>
      <c r="L304" s="23"/>
      <c r="M304" s="23"/>
      <c r="N304" s="23"/>
      <c r="O304" s="23"/>
    </row>
    <row r="305">
      <c r="B305" s="23"/>
      <c r="C305" s="23"/>
      <c r="E305" s="24"/>
      <c r="G305" s="23"/>
      <c r="H305" s="23"/>
      <c r="I305" s="23"/>
      <c r="J305" s="23"/>
      <c r="K305" s="23"/>
      <c r="L305" s="23"/>
      <c r="M305" s="23"/>
      <c r="N305" s="23"/>
      <c r="O305" s="23"/>
    </row>
    <row r="306">
      <c r="B306" s="23"/>
      <c r="C306" s="23"/>
      <c r="E306" s="24"/>
      <c r="G306" s="23"/>
      <c r="H306" s="23"/>
      <c r="I306" s="23"/>
      <c r="J306" s="23"/>
      <c r="K306" s="23"/>
      <c r="L306" s="23"/>
      <c r="M306" s="23"/>
      <c r="N306" s="23"/>
      <c r="O306" s="23"/>
    </row>
    <row r="307">
      <c r="B307" s="23"/>
      <c r="C307" s="23"/>
      <c r="E307" s="24"/>
      <c r="G307" s="23"/>
      <c r="H307" s="23"/>
      <c r="I307" s="23"/>
      <c r="J307" s="23"/>
      <c r="K307" s="23"/>
      <c r="L307" s="23"/>
      <c r="M307" s="23"/>
      <c r="N307" s="23"/>
      <c r="O307" s="23"/>
    </row>
    <row r="308">
      <c r="B308" s="23"/>
      <c r="C308" s="23"/>
      <c r="E308" s="24"/>
      <c r="G308" s="23"/>
      <c r="H308" s="23"/>
      <c r="I308" s="23"/>
      <c r="J308" s="23"/>
      <c r="K308" s="23"/>
      <c r="L308" s="23"/>
      <c r="M308" s="23"/>
      <c r="N308" s="23"/>
      <c r="O308" s="23"/>
    </row>
    <row r="309">
      <c r="B309" s="23"/>
      <c r="C309" s="23"/>
      <c r="E309" s="24"/>
      <c r="G309" s="23"/>
      <c r="H309" s="23"/>
      <c r="I309" s="23"/>
      <c r="J309" s="23"/>
      <c r="K309" s="23"/>
      <c r="L309" s="23"/>
      <c r="M309" s="23"/>
      <c r="N309" s="23"/>
      <c r="O309" s="23"/>
    </row>
    <row r="310">
      <c r="B310" s="23"/>
      <c r="C310" s="23"/>
      <c r="E310" s="24"/>
      <c r="G310" s="23"/>
      <c r="H310" s="23"/>
      <c r="I310" s="23"/>
      <c r="J310" s="23"/>
      <c r="K310" s="23"/>
      <c r="L310" s="23"/>
      <c r="M310" s="23"/>
      <c r="N310" s="23"/>
      <c r="O310" s="23"/>
    </row>
    <row r="311">
      <c r="B311" s="23"/>
      <c r="C311" s="23"/>
      <c r="E311" s="24"/>
      <c r="G311" s="23"/>
      <c r="H311" s="23"/>
      <c r="I311" s="23"/>
      <c r="J311" s="23"/>
      <c r="K311" s="23"/>
      <c r="L311" s="23"/>
      <c r="M311" s="23"/>
      <c r="N311" s="23"/>
      <c r="O311" s="23"/>
    </row>
    <row r="312">
      <c r="B312" s="23"/>
      <c r="C312" s="23"/>
      <c r="E312" s="24"/>
      <c r="G312" s="23"/>
      <c r="H312" s="23"/>
      <c r="I312" s="23"/>
      <c r="J312" s="23"/>
      <c r="K312" s="23"/>
      <c r="L312" s="23"/>
      <c r="M312" s="23"/>
      <c r="N312" s="23"/>
      <c r="O312" s="23"/>
    </row>
    <row r="313">
      <c r="B313" s="23"/>
      <c r="C313" s="23"/>
      <c r="E313" s="24"/>
      <c r="G313" s="23"/>
      <c r="H313" s="23"/>
      <c r="I313" s="23"/>
      <c r="J313" s="23"/>
      <c r="K313" s="23"/>
      <c r="L313" s="23"/>
      <c r="M313" s="23"/>
      <c r="N313" s="23"/>
      <c r="O313" s="23"/>
    </row>
    <row r="314">
      <c r="B314" s="23"/>
      <c r="C314" s="23"/>
      <c r="E314" s="24"/>
      <c r="G314" s="23"/>
      <c r="H314" s="23"/>
      <c r="I314" s="23"/>
      <c r="J314" s="23"/>
      <c r="K314" s="23"/>
      <c r="L314" s="23"/>
      <c r="M314" s="23"/>
      <c r="N314" s="23"/>
      <c r="O314" s="23"/>
    </row>
    <row r="315">
      <c r="B315" s="23"/>
      <c r="C315" s="23"/>
      <c r="E315" s="24"/>
      <c r="G315" s="23"/>
      <c r="H315" s="23"/>
      <c r="I315" s="23"/>
      <c r="J315" s="23"/>
      <c r="K315" s="23"/>
      <c r="L315" s="23"/>
      <c r="M315" s="23"/>
      <c r="N315" s="23"/>
      <c r="O315" s="23"/>
    </row>
    <row r="316">
      <c r="B316" s="23"/>
      <c r="C316" s="23"/>
      <c r="E316" s="24"/>
      <c r="G316" s="23"/>
      <c r="H316" s="23"/>
      <c r="I316" s="23"/>
      <c r="J316" s="23"/>
      <c r="K316" s="23"/>
      <c r="L316" s="23"/>
      <c r="M316" s="23"/>
      <c r="N316" s="23"/>
      <c r="O316" s="23"/>
    </row>
    <row r="317">
      <c r="B317" s="23"/>
      <c r="C317" s="23"/>
      <c r="E317" s="24"/>
      <c r="G317" s="23"/>
      <c r="H317" s="23"/>
      <c r="I317" s="23"/>
      <c r="J317" s="23"/>
      <c r="K317" s="23"/>
      <c r="L317" s="23"/>
      <c r="M317" s="23"/>
      <c r="N317" s="23"/>
      <c r="O317" s="23"/>
    </row>
    <row r="318">
      <c r="B318" s="23"/>
      <c r="C318" s="23"/>
      <c r="E318" s="24"/>
      <c r="G318" s="23"/>
      <c r="H318" s="23"/>
      <c r="I318" s="23"/>
      <c r="J318" s="23"/>
      <c r="K318" s="23"/>
      <c r="L318" s="23"/>
      <c r="M318" s="23"/>
      <c r="N318" s="23"/>
      <c r="O318" s="23"/>
    </row>
    <row r="319">
      <c r="B319" s="23"/>
      <c r="C319" s="23"/>
      <c r="E319" s="24"/>
      <c r="G319" s="23"/>
      <c r="H319" s="23"/>
      <c r="I319" s="23"/>
      <c r="J319" s="23"/>
      <c r="K319" s="23"/>
      <c r="L319" s="23"/>
      <c r="M319" s="23"/>
      <c r="N319" s="23"/>
      <c r="O319" s="23"/>
    </row>
    <row r="320">
      <c r="B320" s="23"/>
      <c r="C320" s="23"/>
      <c r="E320" s="24"/>
      <c r="G320" s="23"/>
      <c r="H320" s="23"/>
      <c r="I320" s="23"/>
      <c r="J320" s="23"/>
      <c r="K320" s="23"/>
      <c r="L320" s="23"/>
      <c r="M320" s="23"/>
      <c r="N320" s="23"/>
      <c r="O320" s="23"/>
    </row>
    <row r="321">
      <c r="B321" s="23"/>
      <c r="C321" s="23"/>
      <c r="E321" s="24"/>
      <c r="G321" s="23"/>
      <c r="H321" s="23"/>
      <c r="I321" s="23"/>
      <c r="J321" s="23"/>
      <c r="K321" s="23"/>
      <c r="L321" s="23"/>
      <c r="M321" s="23"/>
      <c r="N321" s="23"/>
      <c r="O321" s="23"/>
    </row>
    <row r="322">
      <c r="B322" s="23"/>
      <c r="C322" s="23"/>
      <c r="E322" s="24"/>
      <c r="G322" s="23"/>
      <c r="H322" s="23"/>
      <c r="I322" s="23"/>
      <c r="J322" s="23"/>
      <c r="K322" s="23"/>
      <c r="L322" s="23"/>
      <c r="M322" s="23"/>
      <c r="N322" s="23"/>
      <c r="O322" s="23"/>
    </row>
    <row r="323">
      <c r="B323" s="23"/>
      <c r="C323" s="23"/>
      <c r="E323" s="24"/>
      <c r="G323" s="23"/>
      <c r="H323" s="23"/>
      <c r="I323" s="23"/>
      <c r="J323" s="23"/>
      <c r="K323" s="23"/>
      <c r="L323" s="23"/>
      <c r="M323" s="23"/>
      <c r="N323" s="23"/>
      <c r="O323" s="23"/>
    </row>
    <row r="324">
      <c r="B324" s="23"/>
      <c r="C324" s="23"/>
      <c r="E324" s="24"/>
      <c r="G324" s="23"/>
      <c r="H324" s="23"/>
      <c r="I324" s="23"/>
      <c r="J324" s="23"/>
      <c r="K324" s="23"/>
      <c r="L324" s="23"/>
      <c r="M324" s="23"/>
      <c r="N324" s="23"/>
      <c r="O324" s="23"/>
    </row>
    <row r="325">
      <c r="B325" s="23"/>
      <c r="C325" s="23"/>
      <c r="E325" s="24"/>
      <c r="G325" s="23"/>
      <c r="H325" s="23"/>
      <c r="I325" s="23"/>
      <c r="J325" s="23"/>
      <c r="K325" s="23"/>
      <c r="L325" s="23"/>
      <c r="M325" s="23"/>
      <c r="N325" s="23"/>
      <c r="O325" s="23"/>
    </row>
    <row r="326">
      <c r="B326" s="23"/>
      <c r="C326" s="23"/>
      <c r="E326" s="24"/>
      <c r="G326" s="23"/>
      <c r="H326" s="23"/>
      <c r="I326" s="23"/>
      <c r="J326" s="23"/>
      <c r="K326" s="23"/>
      <c r="L326" s="23"/>
      <c r="M326" s="23"/>
      <c r="N326" s="23"/>
      <c r="O326" s="23"/>
    </row>
    <row r="327">
      <c r="B327" s="23"/>
      <c r="C327" s="23"/>
      <c r="E327" s="24"/>
      <c r="G327" s="23"/>
      <c r="H327" s="23"/>
      <c r="I327" s="23"/>
      <c r="J327" s="23"/>
      <c r="K327" s="23"/>
      <c r="L327" s="23"/>
      <c r="M327" s="23"/>
      <c r="N327" s="23"/>
      <c r="O327" s="23"/>
    </row>
    <row r="328">
      <c r="B328" s="23"/>
      <c r="C328" s="23"/>
      <c r="E328" s="24"/>
      <c r="G328" s="23"/>
      <c r="H328" s="23"/>
      <c r="I328" s="23"/>
      <c r="J328" s="23"/>
      <c r="K328" s="23"/>
      <c r="L328" s="23"/>
      <c r="M328" s="23"/>
      <c r="N328" s="23"/>
      <c r="O328" s="23"/>
    </row>
    <row r="329">
      <c r="B329" s="23"/>
      <c r="C329" s="23"/>
      <c r="E329" s="24"/>
      <c r="G329" s="23"/>
      <c r="H329" s="23"/>
      <c r="I329" s="23"/>
      <c r="J329" s="23"/>
      <c r="K329" s="23"/>
      <c r="L329" s="23"/>
      <c r="M329" s="23"/>
      <c r="N329" s="23"/>
      <c r="O329" s="23"/>
    </row>
    <row r="330">
      <c r="B330" s="23"/>
      <c r="C330" s="23"/>
      <c r="E330" s="24"/>
      <c r="G330" s="23"/>
      <c r="H330" s="23"/>
      <c r="I330" s="23"/>
      <c r="J330" s="23"/>
      <c r="K330" s="23"/>
      <c r="L330" s="23"/>
      <c r="M330" s="23"/>
      <c r="N330" s="23"/>
      <c r="O330" s="23"/>
    </row>
    <row r="331">
      <c r="B331" s="23"/>
      <c r="C331" s="23"/>
      <c r="E331" s="24"/>
      <c r="G331" s="23"/>
      <c r="H331" s="23"/>
      <c r="I331" s="23"/>
      <c r="J331" s="23"/>
      <c r="K331" s="23"/>
      <c r="L331" s="23"/>
      <c r="M331" s="23"/>
      <c r="N331" s="23"/>
      <c r="O331" s="23"/>
    </row>
    <row r="332">
      <c r="B332" s="23"/>
      <c r="C332" s="23"/>
      <c r="E332" s="24"/>
      <c r="G332" s="23"/>
      <c r="H332" s="23"/>
      <c r="I332" s="23"/>
      <c r="J332" s="23"/>
      <c r="K332" s="23"/>
      <c r="L332" s="23"/>
      <c r="M332" s="23"/>
      <c r="N332" s="23"/>
      <c r="O332" s="23"/>
    </row>
    <row r="333">
      <c r="B333" s="23"/>
      <c r="C333" s="23"/>
      <c r="E333" s="24"/>
      <c r="G333" s="23"/>
      <c r="H333" s="23"/>
      <c r="I333" s="23"/>
      <c r="J333" s="23"/>
      <c r="K333" s="23"/>
      <c r="L333" s="23"/>
      <c r="M333" s="23"/>
      <c r="N333" s="23"/>
      <c r="O333" s="23"/>
    </row>
    <row r="334">
      <c r="B334" s="23"/>
      <c r="C334" s="23"/>
      <c r="E334" s="24"/>
      <c r="G334" s="23"/>
      <c r="H334" s="23"/>
      <c r="I334" s="23"/>
      <c r="J334" s="23"/>
      <c r="K334" s="23"/>
      <c r="L334" s="23"/>
      <c r="M334" s="23"/>
      <c r="N334" s="23"/>
      <c r="O334" s="23"/>
    </row>
    <row r="335">
      <c r="B335" s="23"/>
      <c r="C335" s="23"/>
      <c r="E335" s="24"/>
      <c r="G335" s="23"/>
      <c r="H335" s="23"/>
      <c r="I335" s="23"/>
      <c r="J335" s="23"/>
      <c r="K335" s="23"/>
      <c r="L335" s="23"/>
      <c r="M335" s="23"/>
      <c r="N335" s="23"/>
      <c r="O335" s="23"/>
    </row>
    <row r="336">
      <c r="B336" s="23"/>
      <c r="C336" s="23"/>
      <c r="E336" s="24"/>
      <c r="G336" s="23"/>
      <c r="H336" s="23"/>
      <c r="I336" s="23"/>
      <c r="J336" s="23"/>
      <c r="K336" s="23"/>
      <c r="L336" s="23"/>
      <c r="M336" s="23"/>
      <c r="N336" s="23"/>
      <c r="O336" s="23"/>
    </row>
    <row r="337">
      <c r="B337" s="23"/>
      <c r="C337" s="23"/>
      <c r="E337" s="24"/>
      <c r="G337" s="23"/>
      <c r="H337" s="23"/>
      <c r="I337" s="23"/>
      <c r="J337" s="23"/>
      <c r="K337" s="23"/>
      <c r="L337" s="23"/>
      <c r="M337" s="23"/>
      <c r="N337" s="23"/>
      <c r="O337" s="23"/>
    </row>
    <row r="338">
      <c r="B338" s="23"/>
      <c r="C338" s="23"/>
      <c r="E338" s="24"/>
      <c r="G338" s="23"/>
      <c r="H338" s="23"/>
      <c r="I338" s="23"/>
      <c r="J338" s="23"/>
      <c r="K338" s="23"/>
      <c r="L338" s="23"/>
      <c r="M338" s="23"/>
      <c r="N338" s="23"/>
      <c r="O338" s="23"/>
    </row>
    <row r="339">
      <c r="B339" s="23"/>
      <c r="C339" s="23"/>
      <c r="E339" s="24"/>
      <c r="G339" s="23"/>
      <c r="H339" s="23"/>
      <c r="I339" s="23"/>
      <c r="J339" s="23"/>
      <c r="K339" s="23"/>
      <c r="L339" s="23"/>
      <c r="M339" s="23"/>
      <c r="N339" s="23"/>
      <c r="O339" s="23"/>
    </row>
    <row r="340">
      <c r="B340" s="23"/>
      <c r="C340" s="23"/>
      <c r="E340" s="24"/>
      <c r="G340" s="23"/>
      <c r="H340" s="23"/>
      <c r="I340" s="23"/>
      <c r="J340" s="23"/>
      <c r="K340" s="23"/>
      <c r="L340" s="23"/>
      <c r="M340" s="23"/>
      <c r="N340" s="23"/>
      <c r="O340" s="23"/>
    </row>
    <row r="341">
      <c r="B341" s="23"/>
      <c r="C341" s="23"/>
      <c r="E341" s="24"/>
      <c r="G341" s="23"/>
      <c r="H341" s="23"/>
      <c r="I341" s="23"/>
      <c r="J341" s="23"/>
      <c r="K341" s="23"/>
      <c r="L341" s="23"/>
      <c r="M341" s="23"/>
      <c r="N341" s="23"/>
      <c r="O341" s="23"/>
    </row>
    <row r="342">
      <c r="B342" s="23"/>
      <c r="C342" s="23"/>
      <c r="E342" s="24"/>
      <c r="G342" s="23"/>
      <c r="H342" s="23"/>
      <c r="I342" s="23"/>
      <c r="J342" s="23"/>
      <c r="K342" s="23"/>
      <c r="L342" s="23"/>
      <c r="M342" s="23"/>
      <c r="N342" s="23"/>
      <c r="O342" s="23"/>
    </row>
    <row r="343">
      <c r="B343" s="23"/>
      <c r="C343" s="23"/>
      <c r="E343" s="24"/>
      <c r="G343" s="23"/>
      <c r="H343" s="23"/>
      <c r="I343" s="23"/>
      <c r="J343" s="23"/>
      <c r="K343" s="23"/>
      <c r="L343" s="23"/>
      <c r="M343" s="23"/>
      <c r="N343" s="23"/>
      <c r="O343" s="23"/>
    </row>
    <row r="344">
      <c r="B344" s="23"/>
      <c r="C344" s="23"/>
      <c r="E344" s="24"/>
      <c r="G344" s="23"/>
      <c r="H344" s="23"/>
      <c r="I344" s="23"/>
      <c r="J344" s="23"/>
      <c r="K344" s="23"/>
      <c r="L344" s="23"/>
      <c r="M344" s="23"/>
      <c r="N344" s="23"/>
      <c r="O344" s="23"/>
    </row>
    <row r="345">
      <c r="B345" s="23"/>
      <c r="C345" s="23"/>
      <c r="E345" s="24"/>
      <c r="G345" s="23"/>
      <c r="H345" s="23"/>
      <c r="I345" s="23"/>
      <c r="J345" s="23"/>
      <c r="K345" s="23"/>
      <c r="L345" s="23"/>
      <c r="M345" s="23"/>
      <c r="N345" s="23"/>
      <c r="O345" s="23"/>
    </row>
    <row r="346">
      <c r="B346" s="23"/>
      <c r="C346" s="23"/>
      <c r="E346" s="24"/>
      <c r="G346" s="23"/>
      <c r="H346" s="23"/>
      <c r="I346" s="23"/>
      <c r="J346" s="23"/>
      <c r="K346" s="23"/>
      <c r="L346" s="23"/>
      <c r="M346" s="23"/>
      <c r="N346" s="23"/>
      <c r="O346" s="23"/>
    </row>
    <row r="347">
      <c r="B347" s="23"/>
      <c r="C347" s="23"/>
      <c r="E347" s="24"/>
      <c r="G347" s="23"/>
      <c r="H347" s="23"/>
      <c r="I347" s="23"/>
      <c r="J347" s="23"/>
      <c r="K347" s="23"/>
      <c r="L347" s="23"/>
      <c r="M347" s="23"/>
      <c r="N347" s="23"/>
      <c r="O347" s="23"/>
    </row>
    <row r="348">
      <c r="B348" s="23"/>
      <c r="C348" s="23"/>
      <c r="E348" s="24"/>
      <c r="G348" s="23"/>
      <c r="H348" s="23"/>
      <c r="I348" s="23"/>
      <c r="J348" s="23"/>
      <c r="K348" s="23"/>
      <c r="L348" s="23"/>
      <c r="M348" s="23"/>
      <c r="N348" s="23"/>
      <c r="O348" s="23"/>
    </row>
    <row r="349">
      <c r="B349" s="23"/>
      <c r="C349" s="23"/>
      <c r="E349" s="24"/>
      <c r="G349" s="23"/>
      <c r="H349" s="23"/>
      <c r="I349" s="23"/>
      <c r="J349" s="23"/>
      <c r="K349" s="23"/>
      <c r="L349" s="23"/>
      <c r="M349" s="23"/>
      <c r="N349" s="23"/>
      <c r="O349" s="23"/>
    </row>
    <row r="350">
      <c r="B350" s="23"/>
      <c r="C350" s="23"/>
      <c r="E350" s="24"/>
      <c r="G350" s="23"/>
      <c r="H350" s="23"/>
      <c r="I350" s="23"/>
      <c r="J350" s="23"/>
      <c r="K350" s="23"/>
      <c r="L350" s="23"/>
      <c r="M350" s="23"/>
      <c r="N350" s="23"/>
      <c r="O350" s="23"/>
    </row>
    <row r="351">
      <c r="B351" s="23"/>
      <c r="C351" s="23"/>
      <c r="E351" s="24"/>
      <c r="G351" s="23"/>
      <c r="H351" s="23"/>
      <c r="I351" s="23"/>
      <c r="J351" s="23"/>
      <c r="K351" s="23"/>
      <c r="L351" s="23"/>
      <c r="M351" s="23"/>
      <c r="N351" s="23"/>
      <c r="O351" s="23"/>
    </row>
    <row r="352">
      <c r="B352" s="23"/>
      <c r="C352" s="23"/>
      <c r="E352" s="24"/>
      <c r="G352" s="23"/>
      <c r="H352" s="23"/>
      <c r="I352" s="23"/>
      <c r="J352" s="23"/>
      <c r="K352" s="23"/>
      <c r="L352" s="23"/>
      <c r="M352" s="23"/>
      <c r="N352" s="23"/>
      <c r="O352" s="23"/>
    </row>
    <row r="353">
      <c r="B353" s="23"/>
      <c r="C353" s="23"/>
      <c r="E353" s="24"/>
      <c r="G353" s="23"/>
      <c r="H353" s="23"/>
      <c r="I353" s="23"/>
      <c r="J353" s="23"/>
      <c r="K353" s="23"/>
      <c r="L353" s="23"/>
      <c r="M353" s="23"/>
      <c r="N353" s="23"/>
      <c r="O353" s="23"/>
    </row>
    <row r="354">
      <c r="B354" s="23"/>
      <c r="C354" s="23"/>
      <c r="E354" s="24"/>
      <c r="G354" s="23"/>
      <c r="H354" s="23"/>
      <c r="I354" s="23"/>
      <c r="J354" s="23"/>
      <c r="K354" s="23"/>
      <c r="L354" s="23"/>
      <c r="M354" s="23"/>
      <c r="N354" s="23"/>
      <c r="O354" s="23"/>
    </row>
    <row r="355">
      <c r="B355" s="23"/>
      <c r="C355" s="23"/>
      <c r="E355" s="24"/>
      <c r="G355" s="23"/>
      <c r="H355" s="23"/>
      <c r="I355" s="23"/>
      <c r="J355" s="23"/>
      <c r="K355" s="23"/>
      <c r="L355" s="23"/>
      <c r="M355" s="23"/>
      <c r="N355" s="23"/>
      <c r="O355" s="23"/>
    </row>
    <row r="356">
      <c r="B356" s="23"/>
      <c r="C356" s="23"/>
      <c r="E356" s="24"/>
      <c r="G356" s="23"/>
      <c r="H356" s="23"/>
      <c r="I356" s="23"/>
      <c r="J356" s="23"/>
      <c r="K356" s="23"/>
      <c r="L356" s="23"/>
      <c r="M356" s="23"/>
      <c r="N356" s="23"/>
      <c r="O356" s="23"/>
    </row>
    <row r="357">
      <c r="B357" s="23"/>
      <c r="C357" s="23"/>
      <c r="E357" s="24"/>
      <c r="G357" s="23"/>
      <c r="H357" s="23"/>
      <c r="I357" s="23"/>
      <c r="J357" s="23"/>
      <c r="K357" s="23"/>
      <c r="L357" s="23"/>
      <c r="M357" s="23"/>
      <c r="N357" s="23"/>
      <c r="O357" s="23"/>
    </row>
    <row r="358">
      <c r="B358" s="23"/>
      <c r="C358" s="23"/>
      <c r="E358" s="24"/>
      <c r="G358" s="23"/>
      <c r="H358" s="23"/>
      <c r="I358" s="23"/>
      <c r="J358" s="23"/>
      <c r="K358" s="23"/>
      <c r="L358" s="23"/>
      <c r="M358" s="23"/>
      <c r="N358" s="23"/>
      <c r="O358" s="23"/>
    </row>
    <row r="359">
      <c r="B359" s="23"/>
      <c r="C359" s="23"/>
      <c r="E359" s="24"/>
      <c r="G359" s="23"/>
      <c r="H359" s="23"/>
      <c r="I359" s="23"/>
      <c r="J359" s="23"/>
      <c r="K359" s="23"/>
      <c r="L359" s="23"/>
      <c r="M359" s="23"/>
      <c r="N359" s="23"/>
      <c r="O359" s="23"/>
    </row>
    <row r="360">
      <c r="B360" s="23"/>
      <c r="C360" s="23"/>
      <c r="E360" s="24"/>
      <c r="G360" s="23"/>
      <c r="H360" s="23"/>
      <c r="I360" s="23"/>
      <c r="J360" s="23"/>
      <c r="K360" s="23"/>
      <c r="L360" s="23"/>
      <c r="M360" s="23"/>
      <c r="N360" s="23"/>
      <c r="O360" s="23"/>
    </row>
    <row r="361">
      <c r="B361" s="23"/>
      <c r="C361" s="23"/>
      <c r="E361" s="24"/>
      <c r="G361" s="23"/>
      <c r="H361" s="23"/>
      <c r="I361" s="23"/>
      <c r="J361" s="23"/>
      <c r="K361" s="23"/>
      <c r="L361" s="23"/>
      <c r="M361" s="23"/>
      <c r="N361" s="23"/>
      <c r="O361" s="23"/>
    </row>
    <row r="362">
      <c r="B362" s="23"/>
      <c r="C362" s="23"/>
      <c r="E362" s="24"/>
      <c r="G362" s="23"/>
      <c r="H362" s="23"/>
      <c r="I362" s="23"/>
      <c r="J362" s="23"/>
      <c r="K362" s="23"/>
      <c r="L362" s="23"/>
      <c r="M362" s="23"/>
      <c r="N362" s="23"/>
      <c r="O362" s="23"/>
    </row>
    <row r="363">
      <c r="B363" s="23"/>
      <c r="C363" s="23"/>
      <c r="E363" s="24"/>
      <c r="G363" s="23"/>
      <c r="H363" s="23"/>
      <c r="I363" s="23"/>
      <c r="J363" s="23"/>
      <c r="K363" s="23"/>
      <c r="L363" s="23"/>
      <c r="M363" s="23"/>
      <c r="N363" s="23"/>
      <c r="O363" s="23"/>
    </row>
    <row r="364">
      <c r="B364" s="23"/>
      <c r="C364" s="23"/>
      <c r="E364" s="24"/>
      <c r="G364" s="23"/>
      <c r="H364" s="23"/>
      <c r="I364" s="23"/>
      <c r="J364" s="23"/>
      <c r="K364" s="23"/>
      <c r="L364" s="23"/>
      <c r="M364" s="23"/>
      <c r="N364" s="23"/>
      <c r="O364" s="23"/>
    </row>
    <row r="365">
      <c r="B365" s="23"/>
      <c r="C365" s="23"/>
      <c r="E365" s="24"/>
      <c r="G365" s="23"/>
      <c r="H365" s="23"/>
      <c r="I365" s="23"/>
      <c r="J365" s="23"/>
      <c r="K365" s="23"/>
      <c r="L365" s="23"/>
      <c r="M365" s="23"/>
      <c r="N365" s="23"/>
      <c r="O365" s="23"/>
    </row>
    <row r="366">
      <c r="B366" s="23"/>
      <c r="C366" s="23"/>
      <c r="E366" s="24"/>
      <c r="G366" s="23"/>
      <c r="H366" s="23"/>
      <c r="I366" s="23"/>
      <c r="J366" s="23"/>
      <c r="K366" s="23"/>
      <c r="L366" s="23"/>
      <c r="M366" s="23"/>
      <c r="N366" s="23"/>
      <c r="O366" s="23"/>
    </row>
    <row r="367">
      <c r="B367" s="23"/>
      <c r="C367" s="23"/>
      <c r="E367" s="24"/>
      <c r="G367" s="23"/>
      <c r="H367" s="23"/>
      <c r="I367" s="23"/>
      <c r="J367" s="23"/>
      <c r="K367" s="23"/>
      <c r="L367" s="23"/>
      <c r="M367" s="23"/>
      <c r="N367" s="23"/>
      <c r="O367" s="23"/>
    </row>
    <row r="368">
      <c r="B368" s="23"/>
      <c r="C368" s="23"/>
      <c r="E368" s="24"/>
      <c r="G368" s="23"/>
      <c r="H368" s="23"/>
      <c r="I368" s="23"/>
      <c r="J368" s="23"/>
      <c r="K368" s="23"/>
      <c r="L368" s="23"/>
      <c r="M368" s="23"/>
      <c r="N368" s="23"/>
      <c r="O368" s="23"/>
    </row>
    <row r="369">
      <c r="B369" s="23"/>
      <c r="C369" s="23"/>
      <c r="E369" s="24"/>
      <c r="G369" s="23"/>
      <c r="H369" s="23"/>
      <c r="I369" s="23"/>
      <c r="J369" s="23"/>
      <c r="K369" s="23"/>
      <c r="L369" s="23"/>
      <c r="M369" s="23"/>
      <c r="N369" s="23"/>
      <c r="O369" s="23"/>
    </row>
    <row r="370">
      <c r="B370" s="23"/>
      <c r="C370" s="23"/>
      <c r="E370" s="24"/>
      <c r="G370" s="23"/>
      <c r="H370" s="23"/>
      <c r="I370" s="23"/>
      <c r="J370" s="23"/>
      <c r="K370" s="23"/>
      <c r="L370" s="23"/>
      <c r="M370" s="23"/>
      <c r="N370" s="23"/>
      <c r="O370" s="23"/>
    </row>
    <row r="371">
      <c r="B371" s="23"/>
      <c r="C371" s="23"/>
      <c r="E371" s="24"/>
      <c r="G371" s="23"/>
      <c r="H371" s="23"/>
      <c r="I371" s="23"/>
      <c r="J371" s="23"/>
      <c r="K371" s="23"/>
      <c r="L371" s="23"/>
      <c r="M371" s="23"/>
      <c r="N371" s="23"/>
      <c r="O371" s="23"/>
    </row>
    <row r="372">
      <c r="B372" s="23"/>
      <c r="C372" s="23"/>
      <c r="E372" s="24"/>
      <c r="G372" s="23"/>
      <c r="H372" s="23"/>
      <c r="I372" s="23"/>
      <c r="J372" s="23"/>
      <c r="K372" s="23"/>
      <c r="L372" s="23"/>
      <c r="M372" s="23"/>
      <c r="N372" s="23"/>
      <c r="O372" s="23"/>
    </row>
    <row r="373">
      <c r="B373" s="23"/>
      <c r="C373" s="23"/>
      <c r="E373" s="24"/>
      <c r="G373" s="23"/>
      <c r="H373" s="23"/>
      <c r="I373" s="23"/>
      <c r="J373" s="23"/>
      <c r="K373" s="23"/>
      <c r="L373" s="23"/>
      <c r="M373" s="23"/>
      <c r="N373" s="23"/>
      <c r="O373" s="23"/>
    </row>
    <row r="374">
      <c r="B374" s="23"/>
      <c r="C374" s="23"/>
      <c r="E374" s="24"/>
      <c r="G374" s="23"/>
      <c r="H374" s="23"/>
      <c r="I374" s="23"/>
      <c r="J374" s="23"/>
      <c r="K374" s="23"/>
      <c r="L374" s="23"/>
      <c r="M374" s="23"/>
      <c r="N374" s="23"/>
      <c r="O374" s="23"/>
    </row>
    <row r="375">
      <c r="B375" s="23"/>
      <c r="C375" s="23"/>
      <c r="E375" s="24"/>
      <c r="G375" s="23"/>
      <c r="H375" s="23"/>
      <c r="I375" s="23"/>
      <c r="J375" s="23"/>
      <c r="K375" s="23"/>
      <c r="L375" s="23"/>
      <c r="M375" s="23"/>
      <c r="N375" s="23"/>
      <c r="O375" s="23"/>
    </row>
    <row r="376">
      <c r="B376" s="23"/>
      <c r="C376" s="23"/>
      <c r="E376" s="24"/>
      <c r="G376" s="23"/>
      <c r="H376" s="23"/>
      <c r="I376" s="23"/>
      <c r="J376" s="23"/>
      <c r="K376" s="23"/>
      <c r="L376" s="23"/>
      <c r="M376" s="23"/>
      <c r="N376" s="23"/>
      <c r="O376" s="23"/>
    </row>
    <row r="377">
      <c r="B377" s="23"/>
      <c r="C377" s="23"/>
      <c r="E377" s="24"/>
      <c r="G377" s="23"/>
      <c r="H377" s="23"/>
      <c r="I377" s="23"/>
      <c r="J377" s="23"/>
      <c r="K377" s="23"/>
      <c r="L377" s="23"/>
      <c r="M377" s="23"/>
      <c r="N377" s="23"/>
      <c r="O377" s="23"/>
    </row>
    <row r="378">
      <c r="B378" s="23"/>
      <c r="C378" s="23"/>
      <c r="E378" s="24"/>
      <c r="G378" s="23"/>
      <c r="H378" s="23"/>
      <c r="I378" s="23"/>
      <c r="J378" s="23"/>
      <c r="K378" s="23"/>
      <c r="L378" s="23"/>
      <c r="M378" s="23"/>
      <c r="N378" s="23"/>
      <c r="O378" s="23"/>
    </row>
    <row r="379">
      <c r="B379" s="23"/>
      <c r="C379" s="23"/>
      <c r="E379" s="24"/>
      <c r="G379" s="23"/>
      <c r="H379" s="23"/>
      <c r="I379" s="23"/>
      <c r="J379" s="23"/>
      <c r="K379" s="23"/>
      <c r="L379" s="23"/>
      <c r="M379" s="23"/>
      <c r="N379" s="23"/>
      <c r="O379" s="23"/>
    </row>
    <row r="380">
      <c r="B380" s="23"/>
      <c r="C380" s="23"/>
      <c r="E380" s="24"/>
      <c r="G380" s="23"/>
      <c r="H380" s="23"/>
      <c r="I380" s="23"/>
      <c r="J380" s="23"/>
      <c r="K380" s="23"/>
      <c r="L380" s="23"/>
      <c r="M380" s="23"/>
      <c r="N380" s="23"/>
      <c r="O380" s="23"/>
    </row>
    <row r="381">
      <c r="B381" s="23"/>
      <c r="C381" s="23"/>
      <c r="E381" s="24"/>
      <c r="G381" s="23"/>
      <c r="H381" s="23"/>
      <c r="I381" s="23"/>
      <c r="J381" s="23"/>
      <c r="K381" s="23"/>
      <c r="L381" s="23"/>
      <c r="M381" s="23"/>
      <c r="N381" s="23"/>
      <c r="O381" s="23"/>
    </row>
    <row r="382">
      <c r="B382" s="23"/>
      <c r="C382" s="23"/>
      <c r="E382" s="24"/>
      <c r="G382" s="23"/>
      <c r="H382" s="23"/>
      <c r="I382" s="23"/>
      <c r="J382" s="23"/>
      <c r="K382" s="23"/>
      <c r="L382" s="23"/>
      <c r="M382" s="23"/>
      <c r="N382" s="23"/>
      <c r="O382" s="23"/>
    </row>
    <row r="383">
      <c r="B383" s="23"/>
      <c r="C383" s="23"/>
      <c r="E383" s="24"/>
      <c r="G383" s="23"/>
      <c r="H383" s="23"/>
      <c r="I383" s="23"/>
      <c r="J383" s="23"/>
      <c r="K383" s="23"/>
      <c r="L383" s="23"/>
      <c r="M383" s="23"/>
      <c r="N383" s="23"/>
      <c r="O383" s="23"/>
    </row>
    <row r="384">
      <c r="B384" s="23"/>
      <c r="C384" s="23"/>
      <c r="E384" s="24"/>
      <c r="G384" s="23"/>
      <c r="H384" s="23"/>
      <c r="I384" s="23"/>
      <c r="J384" s="23"/>
      <c r="K384" s="23"/>
      <c r="L384" s="23"/>
      <c r="M384" s="23"/>
      <c r="N384" s="23"/>
      <c r="O384" s="23"/>
    </row>
    <row r="385">
      <c r="B385" s="23"/>
      <c r="C385" s="23"/>
      <c r="E385" s="24"/>
      <c r="G385" s="23"/>
      <c r="H385" s="23"/>
      <c r="I385" s="23"/>
      <c r="J385" s="23"/>
      <c r="K385" s="23"/>
      <c r="L385" s="23"/>
      <c r="M385" s="23"/>
      <c r="N385" s="23"/>
      <c r="O385" s="23"/>
    </row>
    <row r="386">
      <c r="B386" s="23"/>
      <c r="C386" s="23"/>
      <c r="E386" s="24"/>
      <c r="G386" s="23"/>
      <c r="H386" s="23"/>
      <c r="I386" s="23"/>
      <c r="J386" s="23"/>
      <c r="K386" s="23"/>
      <c r="L386" s="23"/>
      <c r="M386" s="23"/>
      <c r="N386" s="23"/>
      <c r="O386" s="23"/>
    </row>
    <row r="387">
      <c r="B387" s="23"/>
      <c r="C387" s="23"/>
      <c r="E387" s="24"/>
      <c r="G387" s="23"/>
      <c r="H387" s="23"/>
      <c r="I387" s="23"/>
      <c r="J387" s="23"/>
      <c r="K387" s="23"/>
      <c r="L387" s="23"/>
      <c r="M387" s="23"/>
      <c r="N387" s="23"/>
      <c r="O387" s="23"/>
    </row>
    <row r="388">
      <c r="B388" s="23"/>
      <c r="C388" s="23"/>
      <c r="E388" s="24"/>
      <c r="G388" s="23"/>
      <c r="H388" s="23"/>
      <c r="I388" s="23"/>
      <c r="J388" s="23"/>
      <c r="K388" s="23"/>
      <c r="L388" s="23"/>
      <c r="M388" s="23"/>
      <c r="N388" s="23"/>
      <c r="O388" s="23"/>
    </row>
    <row r="389">
      <c r="B389" s="23"/>
      <c r="C389" s="23"/>
      <c r="E389" s="24"/>
      <c r="G389" s="23"/>
      <c r="H389" s="23"/>
      <c r="I389" s="23"/>
      <c r="J389" s="23"/>
      <c r="K389" s="23"/>
      <c r="L389" s="23"/>
      <c r="M389" s="23"/>
      <c r="N389" s="23"/>
      <c r="O389" s="23"/>
    </row>
    <row r="390">
      <c r="B390" s="23"/>
      <c r="C390" s="23"/>
      <c r="E390" s="24"/>
      <c r="G390" s="23"/>
      <c r="H390" s="23"/>
      <c r="I390" s="23"/>
      <c r="J390" s="23"/>
      <c r="K390" s="23"/>
      <c r="L390" s="23"/>
      <c r="M390" s="23"/>
      <c r="N390" s="23"/>
      <c r="O390" s="23"/>
    </row>
    <row r="391">
      <c r="B391" s="23"/>
      <c r="C391" s="23"/>
      <c r="E391" s="24"/>
      <c r="G391" s="23"/>
      <c r="H391" s="23"/>
      <c r="I391" s="23"/>
      <c r="J391" s="23"/>
      <c r="K391" s="23"/>
      <c r="L391" s="23"/>
      <c r="M391" s="23"/>
      <c r="N391" s="23"/>
      <c r="O391" s="23"/>
    </row>
    <row r="392">
      <c r="B392" s="23"/>
      <c r="C392" s="23"/>
      <c r="E392" s="24"/>
      <c r="G392" s="23"/>
      <c r="H392" s="23"/>
      <c r="I392" s="23"/>
      <c r="J392" s="23"/>
      <c r="K392" s="23"/>
      <c r="L392" s="23"/>
      <c r="M392" s="23"/>
      <c r="N392" s="23"/>
      <c r="O392" s="23"/>
    </row>
    <row r="393">
      <c r="B393" s="23"/>
      <c r="C393" s="23"/>
      <c r="E393" s="24"/>
      <c r="G393" s="23"/>
      <c r="H393" s="23"/>
      <c r="I393" s="23"/>
      <c r="J393" s="23"/>
      <c r="K393" s="23"/>
      <c r="L393" s="23"/>
      <c r="M393" s="23"/>
      <c r="N393" s="23"/>
      <c r="O393" s="23"/>
    </row>
    <row r="394">
      <c r="B394" s="23"/>
      <c r="C394" s="23"/>
      <c r="E394" s="24"/>
      <c r="G394" s="23"/>
      <c r="H394" s="23"/>
      <c r="I394" s="23"/>
      <c r="J394" s="23"/>
      <c r="K394" s="23"/>
      <c r="L394" s="23"/>
      <c r="M394" s="23"/>
      <c r="N394" s="23"/>
      <c r="O394" s="23"/>
    </row>
    <row r="395">
      <c r="B395" s="23"/>
      <c r="C395" s="23"/>
      <c r="E395" s="24"/>
      <c r="G395" s="23"/>
      <c r="H395" s="23"/>
      <c r="I395" s="23"/>
      <c r="J395" s="23"/>
      <c r="K395" s="23"/>
      <c r="L395" s="23"/>
      <c r="M395" s="23"/>
      <c r="N395" s="23"/>
      <c r="O395" s="23"/>
    </row>
    <row r="396">
      <c r="B396" s="23"/>
      <c r="C396" s="23"/>
      <c r="E396" s="24"/>
      <c r="G396" s="23"/>
      <c r="H396" s="23"/>
      <c r="I396" s="23"/>
      <c r="J396" s="23"/>
      <c r="K396" s="23"/>
      <c r="L396" s="23"/>
      <c r="M396" s="23"/>
      <c r="N396" s="23"/>
      <c r="O396" s="23"/>
    </row>
    <row r="397">
      <c r="B397" s="23"/>
      <c r="C397" s="23"/>
      <c r="E397" s="24"/>
      <c r="G397" s="23"/>
      <c r="H397" s="23"/>
      <c r="I397" s="23"/>
      <c r="J397" s="23"/>
      <c r="K397" s="23"/>
      <c r="L397" s="23"/>
      <c r="M397" s="23"/>
      <c r="N397" s="23"/>
      <c r="O397" s="23"/>
    </row>
    <row r="398">
      <c r="B398" s="23"/>
      <c r="C398" s="23"/>
      <c r="E398" s="24"/>
      <c r="G398" s="23"/>
      <c r="H398" s="23"/>
      <c r="I398" s="23"/>
      <c r="J398" s="23"/>
      <c r="K398" s="23"/>
      <c r="L398" s="23"/>
      <c r="M398" s="23"/>
      <c r="N398" s="23"/>
      <c r="O398" s="23"/>
    </row>
    <row r="399">
      <c r="B399" s="23"/>
      <c r="C399" s="23"/>
      <c r="E399" s="24"/>
      <c r="G399" s="23"/>
      <c r="H399" s="23"/>
      <c r="I399" s="23"/>
      <c r="J399" s="23"/>
      <c r="K399" s="23"/>
      <c r="L399" s="23"/>
      <c r="M399" s="23"/>
      <c r="N399" s="23"/>
      <c r="O399" s="23"/>
    </row>
    <row r="400">
      <c r="B400" s="23"/>
      <c r="C400" s="23"/>
      <c r="E400" s="24"/>
      <c r="G400" s="23"/>
      <c r="H400" s="23"/>
      <c r="I400" s="23"/>
      <c r="J400" s="23"/>
      <c r="K400" s="23"/>
      <c r="L400" s="23"/>
      <c r="M400" s="23"/>
      <c r="N400" s="23"/>
      <c r="O400" s="23"/>
    </row>
    <row r="401">
      <c r="B401" s="23"/>
      <c r="C401" s="23"/>
      <c r="E401" s="24"/>
      <c r="G401" s="23"/>
      <c r="H401" s="23"/>
      <c r="I401" s="23"/>
      <c r="J401" s="23"/>
      <c r="K401" s="23"/>
      <c r="L401" s="23"/>
      <c r="M401" s="23"/>
      <c r="N401" s="23"/>
      <c r="O401" s="23"/>
    </row>
    <row r="402">
      <c r="B402" s="23"/>
      <c r="C402" s="23"/>
      <c r="E402" s="24"/>
      <c r="G402" s="23"/>
      <c r="H402" s="23"/>
      <c r="I402" s="23"/>
      <c r="J402" s="23"/>
      <c r="K402" s="23"/>
      <c r="L402" s="23"/>
      <c r="M402" s="23"/>
      <c r="N402" s="23"/>
      <c r="O402" s="23"/>
    </row>
    <row r="403">
      <c r="B403" s="23"/>
      <c r="C403" s="23"/>
      <c r="E403" s="24"/>
      <c r="G403" s="23"/>
      <c r="H403" s="23"/>
      <c r="I403" s="23"/>
      <c r="J403" s="23"/>
      <c r="K403" s="23"/>
      <c r="L403" s="23"/>
      <c r="M403" s="23"/>
      <c r="N403" s="23"/>
      <c r="O403" s="23"/>
    </row>
    <row r="404">
      <c r="B404" s="23"/>
      <c r="C404" s="23"/>
      <c r="E404" s="24"/>
      <c r="G404" s="23"/>
      <c r="H404" s="23"/>
      <c r="I404" s="23"/>
      <c r="J404" s="23"/>
      <c r="K404" s="23"/>
      <c r="L404" s="23"/>
      <c r="M404" s="23"/>
      <c r="N404" s="23"/>
      <c r="O404" s="23"/>
    </row>
    <row r="405">
      <c r="B405" s="23"/>
      <c r="C405" s="23"/>
      <c r="E405" s="24"/>
      <c r="G405" s="23"/>
      <c r="H405" s="23"/>
      <c r="I405" s="23"/>
      <c r="J405" s="23"/>
      <c r="K405" s="23"/>
      <c r="L405" s="23"/>
      <c r="M405" s="23"/>
      <c r="N405" s="23"/>
      <c r="O405" s="23"/>
    </row>
    <row r="406">
      <c r="B406" s="23"/>
      <c r="C406" s="23"/>
      <c r="E406" s="24"/>
      <c r="G406" s="23"/>
      <c r="H406" s="23"/>
      <c r="I406" s="23"/>
      <c r="J406" s="23"/>
      <c r="K406" s="23"/>
      <c r="L406" s="23"/>
      <c r="M406" s="23"/>
      <c r="N406" s="23"/>
      <c r="O406" s="23"/>
    </row>
    <row r="407">
      <c r="B407" s="23"/>
      <c r="C407" s="23"/>
      <c r="E407" s="24"/>
      <c r="G407" s="23"/>
      <c r="H407" s="23"/>
      <c r="I407" s="23"/>
      <c r="J407" s="23"/>
      <c r="K407" s="23"/>
      <c r="L407" s="23"/>
      <c r="M407" s="23"/>
      <c r="N407" s="23"/>
      <c r="O407" s="23"/>
    </row>
    <row r="408">
      <c r="B408" s="23"/>
      <c r="C408" s="23"/>
      <c r="E408" s="24"/>
      <c r="G408" s="23"/>
      <c r="H408" s="23"/>
      <c r="I408" s="23"/>
      <c r="J408" s="23"/>
      <c r="K408" s="23"/>
      <c r="L408" s="23"/>
      <c r="M408" s="23"/>
      <c r="N408" s="23"/>
      <c r="O408" s="23"/>
    </row>
    <row r="409">
      <c r="B409" s="23"/>
      <c r="C409" s="23"/>
      <c r="E409" s="24"/>
      <c r="G409" s="23"/>
      <c r="H409" s="23"/>
      <c r="I409" s="23"/>
      <c r="J409" s="23"/>
      <c r="K409" s="23"/>
      <c r="L409" s="23"/>
      <c r="M409" s="23"/>
      <c r="N409" s="23"/>
      <c r="O409" s="23"/>
    </row>
    <row r="410">
      <c r="B410" s="23"/>
      <c r="C410" s="23"/>
      <c r="E410" s="24"/>
      <c r="G410" s="23"/>
      <c r="H410" s="23"/>
      <c r="I410" s="23"/>
      <c r="J410" s="23"/>
      <c r="K410" s="23"/>
      <c r="L410" s="23"/>
      <c r="M410" s="23"/>
      <c r="N410" s="23"/>
      <c r="O410" s="23"/>
    </row>
    <row r="411">
      <c r="B411" s="23"/>
      <c r="C411" s="23"/>
      <c r="E411" s="24"/>
      <c r="G411" s="23"/>
      <c r="H411" s="23"/>
      <c r="I411" s="23"/>
      <c r="J411" s="23"/>
      <c r="K411" s="23"/>
      <c r="L411" s="23"/>
      <c r="M411" s="23"/>
      <c r="N411" s="23"/>
      <c r="O411" s="23"/>
    </row>
    <row r="412">
      <c r="B412" s="23"/>
      <c r="C412" s="23"/>
      <c r="E412" s="24"/>
      <c r="G412" s="23"/>
      <c r="H412" s="23"/>
      <c r="I412" s="23"/>
      <c r="J412" s="23"/>
      <c r="K412" s="23"/>
      <c r="L412" s="23"/>
      <c r="M412" s="23"/>
      <c r="N412" s="23"/>
      <c r="O412" s="23"/>
    </row>
    <row r="413">
      <c r="B413" s="23"/>
      <c r="C413" s="23"/>
      <c r="E413" s="24"/>
      <c r="G413" s="23"/>
      <c r="H413" s="23"/>
      <c r="I413" s="23"/>
      <c r="J413" s="23"/>
      <c r="K413" s="23"/>
      <c r="L413" s="23"/>
      <c r="M413" s="23"/>
      <c r="N413" s="23"/>
      <c r="O413" s="23"/>
    </row>
    <row r="414">
      <c r="B414" s="23"/>
      <c r="C414" s="23"/>
      <c r="E414" s="24"/>
      <c r="G414" s="23"/>
      <c r="H414" s="23"/>
      <c r="I414" s="23"/>
      <c r="J414" s="23"/>
      <c r="K414" s="23"/>
      <c r="L414" s="23"/>
      <c r="M414" s="23"/>
      <c r="N414" s="23"/>
      <c r="O414" s="23"/>
    </row>
    <row r="415">
      <c r="B415" s="23"/>
      <c r="C415" s="23"/>
      <c r="E415" s="24"/>
      <c r="G415" s="23"/>
      <c r="H415" s="23"/>
      <c r="I415" s="23"/>
      <c r="J415" s="23"/>
      <c r="K415" s="23"/>
      <c r="L415" s="23"/>
      <c r="M415" s="23"/>
      <c r="N415" s="23"/>
      <c r="O415" s="23"/>
    </row>
    <row r="416">
      <c r="B416" s="23"/>
      <c r="C416" s="23"/>
      <c r="E416" s="24"/>
      <c r="G416" s="23"/>
      <c r="H416" s="23"/>
      <c r="I416" s="23"/>
      <c r="J416" s="23"/>
      <c r="K416" s="23"/>
      <c r="L416" s="23"/>
      <c r="M416" s="23"/>
      <c r="N416" s="23"/>
      <c r="O416" s="23"/>
    </row>
    <row r="417">
      <c r="B417" s="23"/>
      <c r="C417" s="23"/>
      <c r="E417" s="24"/>
      <c r="G417" s="23"/>
      <c r="H417" s="23"/>
      <c r="I417" s="23"/>
      <c r="J417" s="23"/>
      <c r="K417" s="23"/>
      <c r="L417" s="23"/>
      <c r="M417" s="23"/>
      <c r="N417" s="23"/>
      <c r="O417" s="23"/>
    </row>
    <row r="418">
      <c r="B418" s="23"/>
      <c r="C418" s="23"/>
      <c r="E418" s="24"/>
      <c r="G418" s="23"/>
      <c r="H418" s="23"/>
      <c r="I418" s="23"/>
      <c r="J418" s="23"/>
      <c r="K418" s="23"/>
      <c r="L418" s="23"/>
      <c r="M418" s="23"/>
      <c r="N418" s="23"/>
      <c r="O418" s="23"/>
    </row>
    <row r="419">
      <c r="B419" s="23"/>
      <c r="C419" s="23"/>
      <c r="E419" s="24"/>
      <c r="G419" s="23"/>
      <c r="H419" s="23"/>
      <c r="I419" s="23"/>
      <c r="J419" s="23"/>
      <c r="K419" s="23"/>
      <c r="L419" s="23"/>
      <c r="M419" s="23"/>
      <c r="N419" s="23"/>
      <c r="O419" s="23"/>
    </row>
    <row r="420">
      <c r="B420" s="23"/>
      <c r="C420" s="23"/>
      <c r="E420" s="24"/>
      <c r="G420" s="23"/>
      <c r="H420" s="23"/>
      <c r="I420" s="23"/>
      <c r="J420" s="23"/>
      <c r="K420" s="23"/>
      <c r="L420" s="23"/>
      <c r="M420" s="23"/>
      <c r="N420" s="23"/>
      <c r="O420" s="23"/>
    </row>
    <row r="421">
      <c r="B421" s="23"/>
      <c r="C421" s="23"/>
      <c r="E421" s="24"/>
      <c r="G421" s="23"/>
      <c r="H421" s="23"/>
      <c r="I421" s="23"/>
      <c r="J421" s="23"/>
      <c r="K421" s="23"/>
      <c r="L421" s="23"/>
      <c r="M421" s="23"/>
      <c r="N421" s="23"/>
      <c r="O421" s="23"/>
    </row>
    <row r="422">
      <c r="B422" s="23"/>
      <c r="C422" s="23"/>
      <c r="E422" s="24"/>
      <c r="G422" s="23"/>
      <c r="H422" s="23"/>
      <c r="I422" s="23"/>
      <c r="J422" s="23"/>
      <c r="K422" s="23"/>
      <c r="L422" s="23"/>
      <c r="M422" s="23"/>
      <c r="N422" s="23"/>
      <c r="O422" s="23"/>
    </row>
    <row r="423">
      <c r="B423" s="23"/>
      <c r="C423" s="23"/>
      <c r="E423" s="24"/>
      <c r="G423" s="23"/>
      <c r="H423" s="23"/>
      <c r="I423" s="23"/>
      <c r="J423" s="23"/>
      <c r="K423" s="23"/>
      <c r="L423" s="23"/>
      <c r="M423" s="23"/>
      <c r="N423" s="23"/>
      <c r="O423" s="23"/>
    </row>
    <row r="424">
      <c r="B424" s="23"/>
      <c r="C424" s="23"/>
      <c r="E424" s="24"/>
      <c r="G424" s="23"/>
      <c r="H424" s="23"/>
      <c r="I424" s="23"/>
      <c r="J424" s="23"/>
      <c r="K424" s="23"/>
      <c r="L424" s="23"/>
      <c r="M424" s="23"/>
      <c r="N424" s="23"/>
      <c r="O424" s="23"/>
    </row>
    <row r="425">
      <c r="B425" s="23"/>
      <c r="C425" s="23"/>
      <c r="E425" s="24"/>
      <c r="G425" s="23"/>
      <c r="H425" s="23"/>
      <c r="I425" s="23"/>
      <c r="J425" s="23"/>
      <c r="K425" s="23"/>
      <c r="L425" s="23"/>
      <c r="M425" s="23"/>
      <c r="N425" s="23"/>
      <c r="O425" s="23"/>
    </row>
    <row r="426">
      <c r="B426" s="23"/>
      <c r="C426" s="23"/>
      <c r="E426" s="24"/>
      <c r="G426" s="23"/>
      <c r="H426" s="23"/>
      <c r="I426" s="23"/>
      <c r="J426" s="23"/>
      <c r="K426" s="23"/>
      <c r="L426" s="23"/>
      <c r="M426" s="23"/>
      <c r="N426" s="23"/>
      <c r="O426" s="23"/>
    </row>
    <row r="427">
      <c r="B427" s="23"/>
      <c r="C427" s="23"/>
      <c r="E427" s="24"/>
      <c r="G427" s="23"/>
      <c r="H427" s="23"/>
      <c r="I427" s="23"/>
      <c r="J427" s="23"/>
      <c r="K427" s="23"/>
      <c r="L427" s="23"/>
      <c r="M427" s="23"/>
      <c r="N427" s="23"/>
      <c r="O427" s="23"/>
    </row>
    <row r="428">
      <c r="B428" s="23"/>
      <c r="C428" s="23"/>
      <c r="E428" s="24"/>
      <c r="G428" s="23"/>
      <c r="H428" s="23"/>
      <c r="I428" s="23"/>
      <c r="J428" s="23"/>
      <c r="K428" s="23"/>
      <c r="L428" s="23"/>
      <c r="M428" s="23"/>
      <c r="N428" s="23"/>
      <c r="O428" s="23"/>
    </row>
    <row r="429">
      <c r="B429" s="23"/>
      <c r="C429" s="23"/>
      <c r="E429" s="24"/>
      <c r="G429" s="23"/>
      <c r="H429" s="23"/>
      <c r="I429" s="23"/>
      <c r="J429" s="23"/>
      <c r="K429" s="23"/>
      <c r="L429" s="23"/>
      <c r="M429" s="23"/>
      <c r="N429" s="23"/>
      <c r="O429" s="23"/>
    </row>
    <row r="430">
      <c r="B430" s="23"/>
      <c r="C430" s="23"/>
      <c r="E430" s="24"/>
      <c r="G430" s="23"/>
      <c r="H430" s="23"/>
      <c r="I430" s="23"/>
      <c r="J430" s="23"/>
      <c r="K430" s="23"/>
      <c r="L430" s="23"/>
      <c r="M430" s="23"/>
      <c r="N430" s="23"/>
      <c r="O430" s="23"/>
    </row>
    <row r="431">
      <c r="B431" s="23"/>
      <c r="C431" s="23"/>
      <c r="E431" s="24"/>
      <c r="G431" s="23"/>
      <c r="H431" s="23"/>
      <c r="I431" s="23"/>
      <c r="J431" s="23"/>
      <c r="K431" s="23"/>
      <c r="L431" s="23"/>
      <c r="M431" s="23"/>
      <c r="N431" s="23"/>
      <c r="O431" s="23"/>
    </row>
    <row r="432">
      <c r="B432" s="23"/>
      <c r="C432" s="23"/>
      <c r="E432" s="24"/>
      <c r="G432" s="23"/>
      <c r="H432" s="23"/>
      <c r="I432" s="23"/>
      <c r="J432" s="23"/>
      <c r="K432" s="23"/>
      <c r="L432" s="23"/>
      <c r="M432" s="23"/>
      <c r="N432" s="23"/>
      <c r="O432" s="23"/>
    </row>
    <row r="433">
      <c r="B433" s="23"/>
      <c r="C433" s="23"/>
      <c r="E433" s="24"/>
      <c r="G433" s="23"/>
      <c r="H433" s="23"/>
      <c r="I433" s="23"/>
      <c r="J433" s="23"/>
      <c r="K433" s="23"/>
      <c r="L433" s="23"/>
      <c r="M433" s="23"/>
      <c r="N433" s="23"/>
      <c r="O433" s="23"/>
    </row>
    <row r="434">
      <c r="B434" s="23"/>
      <c r="C434" s="23"/>
      <c r="E434" s="24"/>
      <c r="G434" s="23"/>
      <c r="H434" s="23"/>
      <c r="I434" s="23"/>
      <c r="J434" s="23"/>
      <c r="K434" s="23"/>
      <c r="L434" s="23"/>
      <c r="M434" s="23"/>
      <c r="N434" s="23"/>
      <c r="O434" s="23"/>
    </row>
    <row r="435">
      <c r="B435" s="23"/>
      <c r="C435" s="23"/>
      <c r="E435" s="24"/>
      <c r="G435" s="23"/>
      <c r="H435" s="23"/>
      <c r="I435" s="23"/>
      <c r="J435" s="23"/>
      <c r="K435" s="23"/>
      <c r="L435" s="23"/>
      <c r="M435" s="23"/>
      <c r="N435" s="23"/>
      <c r="O435" s="23"/>
    </row>
    <row r="436">
      <c r="B436" s="23"/>
      <c r="C436" s="23"/>
      <c r="E436" s="24"/>
      <c r="G436" s="23"/>
      <c r="H436" s="23"/>
      <c r="I436" s="23"/>
      <c r="J436" s="23"/>
      <c r="K436" s="23"/>
      <c r="L436" s="23"/>
      <c r="M436" s="23"/>
      <c r="N436" s="23"/>
      <c r="O436" s="23"/>
    </row>
    <row r="437">
      <c r="B437" s="23"/>
      <c r="C437" s="23"/>
      <c r="E437" s="24"/>
      <c r="G437" s="23"/>
      <c r="H437" s="23"/>
      <c r="I437" s="23"/>
      <c r="J437" s="23"/>
      <c r="K437" s="23"/>
      <c r="L437" s="23"/>
      <c r="M437" s="23"/>
      <c r="N437" s="23"/>
      <c r="O437" s="23"/>
    </row>
    <row r="438">
      <c r="B438" s="23"/>
      <c r="C438" s="23"/>
      <c r="E438" s="24"/>
      <c r="G438" s="23"/>
      <c r="H438" s="23"/>
      <c r="I438" s="23"/>
      <c r="J438" s="23"/>
      <c r="K438" s="23"/>
      <c r="L438" s="23"/>
      <c r="M438" s="23"/>
      <c r="N438" s="23"/>
      <c r="O438" s="23"/>
    </row>
    <row r="439">
      <c r="B439" s="23"/>
      <c r="C439" s="23"/>
      <c r="E439" s="24"/>
      <c r="G439" s="23"/>
      <c r="H439" s="23"/>
      <c r="I439" s="23"/>
      <c r="J439" s="23"/>
      <c r="K439" s="23"/>
      <c r="L439" s="23"/>
      <c r="M439" s="23"/>
      <c r="N439" s="23"/>
      <c r="O439" s="23"/>
    </row>
    <row r="440">
      <c r="B440" s="23"/>
      <c r="C440" s="23"/>
      <c r="E440" s="24"/>
      <c r="G440" s="23"/>
      <c r="H440" s="23"/>
      <c r="I440" s="23"/>
      <c r="J440" s="23"/>
      <c r="K440" s="23"/>
      <c r="L440" s="23"/>
      <c r="M440" s="23"/>
      <c r="N440" s="23"/>
      <c r="O440" s="23"/>
    </row>
    <row r="441">
      <c r="B441" s="23"/>
      <c r="C441" s="23"/>
      <c r="E441" s="24"/>
      <c r="G441" s="23"/>
      <c r="H441" s="23"/>
      <c r="I441" s="23"/>
      <c r="J441" s="23"/>
      <c r="K441" s="23"/>
      <c r="L441" s="23"/>
      <c r="M441" s="23"/>
      <c r="N441" s="23"/>
      <c r="O441" s="23"/>
    </row>
    <row r="442">
      <c r="B442" s="23"/>
      <c r="C442" s="23"/>
      <c r="E442" s="24"/>
      <c r="G442" s="23"/>
      <c r="H442" s="23"/>
      <c r="I442" s="23"/>
      <c r="J442" s="23"/>
      <c r="K442" s="23"/>
      <c r="L442" s="23"/>
      <c r="M442" s="23"/>
      <c r="N442" s="23"/>
      <c r="O442" s="23"/>
    </row>
    <row r="443">
      <c r="B443" s="23"/>
      <c r="C443" s="23"/>
      <c r="E443" s="24"/>
      <c r="G443" s="23"/>
      <c r="H443" s="23"/>
      <c r="I443" s="23"/>
      <c r="J443" s="23"/>
      <c r="K443" s="23"/>
      <c r="L443" s="23"/>
      <c r="M443" s="23"/>
      <c r="N443" s="23"/>
      <c r="O443" s="23"/>
    </row>
    <row r="444">
      <c r="B444" s="23"/>
      <c r="C444" s="23"/>
      <c r="E444" s="24"/>
      <c r="G444" s="23"/>
      <c r="H444" s="23"/>
      <c r="I444" s="23"/>
      <c r="J444" s="23"/>
      <c r="K444" s="23"/>
      <c r="L444" s="23"/>
      <c r="M444" s="23"/>
      <c r="N444" s="23"/>
      <c r="O444" s="23"/>
    </row>
    <row r="445">
      <c r="B445" s="23"/>
      <c r="C445" s="23"/>
      <c r="E445" s="24"/>
      <c r="G445" s="23"/>
      <c r="H445" s="23"/>
      <c r="I445" s="23"/>
      <c r="J445" s="23"/>
      <c r="K445" s="23"/>
      <c r="L445" s="23"/>
      <c r="M445" s="23"/>
      <c r="N445" s="23"/>
      <c r="O445" s="23"/>
    </row>
    <row r="446">
      <c r="B446" s="23"/>
      <c r="C446" s="23"/>
      <c r="E446" s="24"/>
      <c r="G446" s="23"/>
      <c r="H446" s="23"/>
      <c r="I446" s="23"/>
      <c r="J446" s="23"/>
      <c r="K446" s="23"/>
      <c r="L446" s="23"/>
      <c r="M446" s="23"/>
      <c r="N446" s="23"/>
      <c r="O446" s="23"/>
    </row>
    <row r="447">
      <c r="B447" s="23"/>
      <c r="C447" s="23"/>
      <c r="E447" s="24"/>
      <c r="G447" s="23"/>
      <c r="H447" s="23"/>
      <c r="I447" s="23"/>
      <c r="J447" s="23"/>
      <c r="K447" s="23"/>
      <c r="L447" s="23"/>
      <c r="M447" s="23"/>
      <c r="N447" s="23"/>
      <c r="O447" s="23"/>
    </row>
    <row r="448">
      <c r="B448" s="23"/>
      <c r="C448" s="23"/>
      <c r="E448" s="24"/>
      <c r="G448" s="23"/>
      <c r="H448" s="23"/>
      <c r="I448" s="23"/>
      <c r="J448" s="23"/>
      <c r="K448" s="23"/>
      <c r="L448" s="23"/>
      <c r="M448" s="23"/>
      <c r="N448" s="23"/>
      <c r="O448" s="23"/>
    </row>
    <row r="449">
      <c r="B449" s="23"/>
      <c r="C449" s="23"/>
      <c r="E449" s="24"/>
      <c r="G449" s="23"/>
      <c r="H449" s="23"/>
      <c r="I449" s="23"/>
      <c r="J449" s="23"/>
      <c r="K449" s="23"/>
      <c r="L449" s="23"/>
      <c r="M449" s="23"/>
      <c r="N449" s="23"/>
      <c r="O449" s="23"/>
    </row>
    <row r="450">
      <c r="B450" s="23"/>
      <c r="C450" s="23"/>
      <c r="E450" s="24"/>
      <c r="G450" s="23"/>
      <c r="H450" s="23"/>
      <c r="I450" s="23"/>
      <c r="J450" s="23"/>
      <c r="K450" s="23"/>
      <c r="L450" s="23"/>
      <c r="M450" s="23"/>
      <c r="N450" s="23"/>
      <c r="O450" s="23"/>
    </row>
    <row r="451">
      <c r="B451" s="23"/>
      <c r="C451" s="23"/>
      <c r="E451" s="24"/>
      <c r="G451" s="23"/>
      <c r="H451" s="23"/>
      <c r="I451" s="23"/>
      <c r="J451" s="23"/>
      <c r="K451" s="23"/>
      <c r="L451" s="23"/>
      <c r="M451" s="23"/>
      <c r="N451" s="23"/>
      <c r="O451" s="23"/>
    </row>
    <row r="452">
      <c r="B452" s="23"/>
      <c r="C452" s="23"/>
      <c r="E452" s="24"/>
      <c r="G452" s="23"/>
      <c r="H452" s="23"/>
      <c r="I452" s="23"/>
      <c r="J452" s="23"/>
      <c r="K452" s="23"/>
      <c r="L452" s="23"/>
      <c r="M452" s="23"/>
      <c r="N452" s="23"/>
      <c r="O452" s="23"/>
    </row>
    <row r="453">
      <c r="B453" s="23"/>
      <c r="C453" s="23"/>
      <c r="E453" s="24"/>
      <c r="G453" s="23"/>
      <c r="H453" s="23"/>
      <c r="I453" s="23"/>
      <c r="J453" s="23"/>
      <c r="K453" s="23"/>
      <c r="L453" s="23"/>
      <c r="M453" s="23"/>
      <c r="N453" s="23"/>
      <c r="O453" s="23"/>
    </row>
    <row r="454">
      <c r="B454" s="23"/>
      <c r="C454" s="23"/>
      <c r="E454" s="24"/>
      <c r="G454" s="23"/>
      <c r="H454" s="23"/>
      <c r="I454" s="23"/>
      <c r="J454" s="23"/>
      <c r="K454" s="23"/>
      <c r="L454" s="23"/>
      <c r="M454" s="23"/>
      <c r="N454" s="23"/>
      <c r="O454" s="23"/>
    </row>
    <row r="455">
      <c r="B455" s="23"/>
      <c r="C455" s="23"/>
      <c r="E455" s="24"/>
      <c r="G455" s="23"/>
      <c r="H455" s="23"/>
      <c r="I455" s="23"/>
      <c r="J455" s="23"/>
      <c r="K455" s="23"/>
      <c r="L455" s="23"/>
      <c r="M455" s="23"/>
      <c r="N455" s="23"/>
      <c r="O455" s="23"/>
    </row>
    <row r="456">
      <c r="B456" s="23"/>
      <c r="C456" s="23"/>
      <c r="E456" s="24"/>
      <c r="G456" s="23"/>
      <c r="H456" s="23"/>
      <c r="I456" s="23"/>
      <c r="J456" s="23"/>
      <c r="K456" s="23"/>
      <c r="L456" s="23"/>
      <c r="M456" s="23"/>
      <c r="N456" s="23"/>
      <c r="O456" s="23"/>
    </row>
    <row r="457">
      <c r="B457" s="23"/>
      <c r="C457" s="23"/>
      <c r="E457" s="24"/>
      <c r="G457" s="23"/>
      <c r="H457" s="23"/>
      <c r="I457" s="23"/>
      <c r="J457" s="23"/>
      <c r="K457" s="23"/>
      <c r="L457" s="23"/>
      <c r="M457" s="23"/>
      <c r="N457" s="23"/>
      <c r="O457" s="23"/>
    </row>
    <row r="458">
      <c r="B458" s="23"/>
      <c r="C458" s="23"/>
      <c r="E458" s="24"/>
      <c r="G458" s="23"/>
      <c r="H458" s="23"/>
      <c r="I458" s="23"/>
      <c r="J458" s="23"/>
      <c r="K458" s="23"/>
      <c r="L458" s="23"/>
      <c r="M458" s="23"/>
      <c r="N458" s="23"/>
      <c r="O458" s="23"/>
    </row>
    <row r="459">
      <c r="B459" s="23"/>
      <c r="C459" s="23"/>
      <c r="E459" s="24"/>
      <c r="G459" s="23"/>
      <c r="H459" s="23"/>
      <c r="I459" s="23"/>
      <c r="J459" s="23"/>
      <c r="K459" s="23"/>
      <c r="L459" s="23"/>
      <c r="M459" s="23"/>
      <c r="N459" s="23"/>
      <c r="O459" s="23"/>
    </row>
    <row r="460">
      <c r="B460" s="23"/>
      <c r="C460" s="23"/>
      <c r="E460" s="24"/>
      <c r="G460" s="23"/>
      <c r="H460" s="23"/>
      <c r="I460" s="23"/>
      <c r="J460" s="23"/>
      <c r="K460" s="23"/>
      <c r="L460" s="23"/>
      <c r="M460" s="23"/>
      <c r="N460" s="23"/>
      <c r="O460" s="23"/>
    </row>
    <row r="461">
      <c r="B461" s="23"/>
      <c r="C461" s="23"/>
      <c r="E461" s="24"/>
      <c r="G461" s="23"/>
      <c r="H461" s="23"/>
      <c r="I461" s="23"/>
      <c r="J461" s="23"/>
      <c r="K461" s="23"/>
      <c r="L461" s="23"/>
      <c r="M461" s="23"/>
      <c r="N461" s="23"/>
      <c r="O461" s="23"/>
    </row>
    <row r="462">
      <c r="B462" s="23"/>
      <c r="C462" s="23"/>
      <c r="E462" s="24"/>
      <c r="G462" s="23"/>
      <c r="H462" s="23"/>
      <c r="I462" s="23"/>
      <c r="J462" s="23"/>
      <c r="K462" s="23"/>
      <c r="L462" s="23"/>
      <c r="M462" s="23"/>
      <c r="N462" s="23"/>
      <c r="O462" s="23"/>
    </row>
    <row r="463">
      <c r="B463" s="23"/>
      <c r="C463" s="23"/>
      <c r="E463" s="24"/>
      <c r="G463" s="23"/>
      <c r="H463" s="23"/>
      <c r="I463" s="23"/>
      <c r="J463" s="23"/>
      <c r="K463" s="23"/>
      <c r="L463" s="23"/>
      <c r="M463" s="23"/>
      <c r="N463" s="23"/>
      <c r="O463" s="23"/>
    </row>
    <row r="464">
      <c r="B464" s="23"/>
      <c r="C464" s="23"/>
      <c r="E464" s="24"/>
      <c r="G464" s="23"/>
      <c r="H464" s="23"/>
      <c r="I464" s="23"/>
      <c r="J464" s="23"/>
      <c r="K464" s="23"/>
      <c r="L464" s="23"/>
      <c r="M464" s="23"/>
      <c r="N464" s="23"/>
      <c r="O464" s="23"/>
    </row>
    <row r="465">
      <c r="B465" s="23"/>
      <c r="C465" s="23"/>
      <c r="E465" s="24"/>
      <c r="G465" s="23"/>
      <c r="H465" s="23"/>
      <c r="I465" s="23"/>
      <c r="J465" s="23"/>
      <c r="K465" s="23"/>
      <c r="L465" s="23"/>
      <c r="M465" s="23"/>
      <c r="N465" s="23"/>
      <c r="O465" s="23"/>
    </row>
    <row r="466">
      <c r="B466" s="23"/>
      <c r="C466" s="23"/>
      <c r="E466" s="24"/>
      <c r="G466" s="23"/>
      <c r="H466" s="23"/>
      <c r="I466" s="23"/>
      <c r="J466" s="23"/>
      <c r="K466" s="23"/>
      <c r="L466" s="23"/>
      <c r="M466" s="23"/>
      <c r="N466" s="23"/>
      <c r="O466" s="23"/>
    </row>
    <row r="467">
      <c r="B467" s="23"/>
      <c r="C467" s="23"/>
      <c r="E467" s="24"/>
      <c r="G467" s="23"/>
      <c r="H467" s="23"/>
      <c r="I467" s="23"/>
      <c r="J467" s="23"/>
      <c r="K467" s="23"/>
      <c r="L467" s="23"/>
      <c r="M467" s="23"/>
      <c r="N467" s="23"/>
      <c r="O467" s="23"/>
    </row>
    <row r="468">
      <c r="B468" s="23"/>
      <c r="C468" s="23"/>
      <c r="E468" s="24"/>
      <c r="G468" s="23"/>
      <c r="H468" s="23"/>
      <c r="I468" s="23"/>
      <c r="J468" s="23"/>
      <c r="K468" s="23"/>
      <c r="L468" s="23"/>
      <c r="M468" s="23"/>
      <c r="N468" s="23"/>
      <c r="O468" s="23"/>
    </row>
    <row r="469">
      <c r="B469" s="23"/>
      <c r="C469" s="23"/>
      <c r="E469" s="24"/>
      <c r="G469" s="23"/>
      <c r="H469" s="23"/>
      <c r="I469" s="23"/>
      <c r="J469" s="23"/>
      <c r="K469" s="23"/>
      <c r="L469" s="23"/>
      <c r="M469" s="23"/>
      <c r="N469" s="23"/>
      <c r="O469" s="23"/>
    </row>
    <row r="470">
      <c r="B470" s="23"/>
      <c r="C470" s="23"/>
      <c r="E470" s="24"/>
      <c r="G470" s="23"/>
      <c r="H470" s="23"/>
      <c r="I470" s="23"/>
      <c r="J470" s="23"/>
      <c r="K470" s="23"/>
      <c r="L470" s="23"/>
      <c r="M470" s="23"/>
      <c r="N470" s="23"/>
      <c r="O470" s="23"/>
    </row>
    <row r="471">
      <c r="B471" s="23"/>
      <c r="C471" s="23"/>
      <c r="E471" s="24"/>
      <c r="G471" s="23"/>
      <c r="H471" s="23"/>
      <c r="I471" s="23"/>
      <c r="J471" s="23"/>
      <c r="K471" s="23"/>
      <c r="L471" s="23"/>
      <c r="M471" s="23"/>
      <c r="N471" s="23"/>
      <c r="O471" s="23"/>
    </row>
    <row r="472">
      <c r="B472" s="23"/>
      <c r="C472" s="23"/>
      <c r="E472" s="24"/>
      <c r="G472" s="23"/>
      <c r="H472" s="23"/>
      <c r="I472" s="23"/>
      <c r="J472" s="23"/>
      <c r="K472" s="23"/>
      <c r="L472" s="23"/>
      <c r="M472" s="23"/>
      <c r="N472" s="23"/>
      <c r="O472" s="23"/>
    </row>
    <row r="473">
      <c r="B473" s="23"/>
      <c r="C473" s="23"/>
      <c r="E473" s="24"/>
      <c r="G473" s="23"/>
      <c r="H473" s="23"/>
      <c r="I473" s="23"/>
      <c r="J473" s="23"/>
      <c r="K473" s="23"/>
      <c r="L473" s="23"/>
      <c r="M473" s="23"/>
      <c r="N473" s="23"/>
      <c r="O473" s="23"/>
    </row>
    <row r="474">
      <c r="B474" s="23"/>
      <c r="C474" s="23"/>
      <c r="E474" s="24"/>
      <c r="G474" s="23"/>
      <c r="H474" s="23"/>
      <c r="I474" s="23"/>
      <c r="J474" s="23"/>
      <c r="K474" s="23"/>
      <c r="L474" s="23"/>
      <c r="M474" s="23"/>
      <c r="N474" s="23"/>
      <c r="O474" s="23"/>
    </row>
    <row r="475">
      <c r="B475" s="23"/>
      <c r="C475" s="23"/>
      <c r="E475" s="24"/>
      <c r="G475" s="23"/>
      <c r="H475" s="23"/>
      <c r="I475" s="23"/>
      <c r="J475" s="23"/>
      <c r="K475" s="23"/>
      <c r="L475" s="23"/>
      <c r="M475" s="23"/>
      <c r="N475" s="23"/>
      <c r="O475" s="23"/>
    </row>
    <row r="476">
      <c r="B476" s="23"/>
      <c r="C476" s="23"/>
      <c r="E476" s="24"/>
      <c r="G476" s="23"/>
      <c r="H476" s="23"/>
      <c r="I476" s="23"/>
      <c r="J476" s="23"/>
      <c r="K476" s="23"/>
      <c r="L476" s="23"/>
      <c r="M476" s="23"/>
      <c r="N476" s="23"/>
      <c r="O476" s="23"/>
    </row>
    <row r="477">
      <c r="B477" s="23"/>
      <c r="C477" s="23"/>
      <c r="E477" s="24"/>
      <c r="G477" s="23"/>
      <c r="H477" s="23"/>
      <c r="I477" s="23"/>
      <c r="J477" s="23"/>
      <c r="K477" s="23"/>
      <c r="L477" s="23"/>
      <c r="M477" s="23"/>
      <c r="N477" s="23"/>
      <c r="O477" s="23"/>
    </row>
    <row r="478">
      <c r="B478" s="23"/>
      <c r="C478" s="23"/>
      <c r="E478" s="24"/>
      <c r="G478" s="23"/>
      <c r="H478" s="23"/>
      <c r="I478" s="23"/>
      <c r="J478" s="23"/>
      <c r="K478" s="23"/>
      <c r="L478" s="23"/>
      <c r="M478" s="23"/>
      <c r="N478" s="23"/>
      <c r="O478" s="23"/>
    </row>
    <row r="479">
      <c r="B479" s="23"/>
      <c r="C479" s="23"/>
      <c r="E479" s="24"/>
      <c r="G479" s="23"/>
      <c r="H479" s="23"/>
      <c r="I479" s="23"/>
      <c r="J479" s="23"/>
      <c r="K479" s="23"/>
      <c r="L479" s="23"/>
      <c r="M479" s="23"/>
      <c r="N479" s="23"/>
      <c r="O479" s="23"/>
    </row>
    <row r="480">
      <c r="B480" s="23"/>
      <c r="C480" s="23"/>
      <c r="E480" s="24"/>
      <c r="G480" s="23"/>
      <c r="H480" s="23"/>
      <c r="I480" s="23"/>
      <c r="J480" s="23"/>
      <c r="K480" s="23"/>
      <c r="L480" s="23"/>
      <c r="M480" s="23"/>
      <c r="N480" s="23"/>
      <c r="O480" s="23"/>
    </row>
    <row r="481">
      <c r="B481" s="23"/>
      <c r="C481" s="23"/>
      <c r="E481" s="24"/>
      <c r="G481" s="23"/>
      <c r="H481" s="23"/>
      <c r="I481" s="23"/>
      <c r="J481" s="23"/>
      <c r="K481" s="23"/>
      <c r="L481" s="23"/>
      <c r="M481" s="23"/>
      <c r="N481" s="23"/>
      <c r="O481" s="23"/>
    </row>
    <row r="482">
      <c r="B482" s="23"/>
      <c r="C482" s="23"/>
      <c r="E482" s="24"/>
      <c r="G482" s="23"/>
      <c r="H482" s="23"/>
      <c r="I482" s="23"/>
      <c r="J482" s="23"/>
      <c r="K482" s="23"/>
      <c r="L482" s="23"/>
      <c r="M482" s="23"/>
      <c r="N482" s="23"/>
      <c r="O482" s="23"/>
    </row>
    <row r="483">
      <c r="B483" s="23"/>
      <c r="C483" s="23"/>
      <c r="E483" s="24"/>
      <c r="G483" s="23"/>
      <c r="H483" s="23"/>
      <c r="I483" s="23"/>
      <c r="J483" s="23"/>
      <c r="K483" s="23"/>
      <c r="L483" s="23"/>
      <c r="M483" s="23"/>
      <c r="N483" s="23"/>
      <c r="O483" s="23"/>
    </row>
    <row r="484">
      <c r="B484" s="23"/>
      <c r="C484" s="23"/>
      <c r="E484" s="24"/>
      <c r="G484" s="23"/>
      <c r="H484" s="23"/>
      <c r="I484" s="23"/>
      <c r="J484" s="23"/>
      <c r="K484" s="23"/>
      <c r="L484" s="23"/>
      <c r="M484" s="23"/>
      <c r="N484" s="23"/>
      <c r="O484" s="23"/>
    </row>
    <row r="485">
      <c r="B485" s="23"/>
      <c r="C485" s="23"/>
      <c r="E485" s="24"/>
      <c r="G485" s="23"/>
      <c r="H485" s="23"/>
      <c r="I485" s="23"/>
      <c r="J485" s="23"/>
      <c r="K485" s="23"/>
      <c r="L485" s="23"/>
      <c r="M485" s="23"/>
      <c r="N485" s="23"/>
      <c r="O485" s="23"/>
    </row>
    <row r="486">
      <c r="B486" s="23"/>
      <c r="C486" s="23"/>
      <c r="E486" s="24"/>
      <c r="G486" s="23"/>
      <c r="H486" s="23"/>
      <c r="I486" s="23"/>
      <c r="J486" s="23"/>
      <c r="K486" s="23"/>
      <c r="L486" s="23"/>
      <c r="M486" s="23"/>
      <c r="N486" s="23"/>
      <c r="O486" s="23"/>
    </row>
    <row r="487">
      <c r="B487" s="23"/>
      <c r="C487" s="23"/>
      <c r="E487" s="24"/>
      <c r="G487" s="23"/>
      <c r="H487" s="23"/>
      <c r="I487" s="23"/>
      <c r="J487" s="23"/>
      <c r="K487" s="23"/>
      <c r="L487" s="23"/>
      <c r="M487" s="23"/>
      <c r="N487" s="23"/>
      <c r="O487" s="23"/>
    </row>
    <row r="488">
      <c r="B488" s="23"/>
      <c r="C488" s="23"/>
      <c r="E488" s="24"/>
      <c r="G488" s="23"/>
      <c r="H488" s="23"/>
      <c r="I488" s="23"/>
      <c r="J488" s="23"/>
      <c r="K488" s="23"/>
      <c r="L488" s="23"/>
      <c r="M488" s="23"/>
      <c r="N488" s="23"/>
      <c r="O488" s="23"/>
    </row>
    <row r="489">
      <c r="B489" s="23"/>
      <c r="C489" s="23"/>
      <c r="E489" s="24"/>
      <c r="G489" s="23"/>
      <c r="H489" s="23"/>
      <c r="I489" s="23"/>
      <c r="J489" s="23"/>
      <c r="K489" s="23"/>
      <c r="L489" s="23"/>
      <c r="M489" s="23"/>
      <c r="N489" s="23"/>
      <c r="O489" s="23"/>
    </row>
    <row r="490">
      <c r="B490" s="23"/>
      <c r="C490" s="23"/>
      <c r="E490" s="24"/>
      <c r="G490" s="23"/>
      <c r="H490" s="23"/>
      <c r="I490" s="23"/>
      <c r="J490" s="23"/>
      <c r="K490" s="23"/>
      <c r="L490" s="23"/>
      <c r="M490" s="23"/>
      <c r="N490" s="23"/>
      <c r="O490" s="23"/>
    </row>
    <row r="491">
      <c r="B491" s="23"/>
      <c r="C491" s="23"/>
      <c r="E491" s="24"/>
      <c r="G491" s="23"/>
      <c r="H491" s="23"/>
      <c r="I491" s="23"/>
      <c r="J491" s="23"/>
      <c r="K491" s="23"/>
      <c r="L491" s="23"/>
      <c r="M491" s="23"/>
      <c r="N491" s="23"/>
      <c r="O491" s="23"/>
    </row>
    <row r="492">
      <c r="B492" s="23"/>
      <c r="C492" s="23"/>
      <c r="E492" s="24"/>
      <c r="G492" s="23"/>
      <c r="H492" s="23"/>
      <c r="I492" s="23"/>
      <c r="J492" s="23"/>
      <c r="K492" s="23"/>
      <c r="L492" s="23"/>
      <c r="M492" s="23"/>
      <c r="N492" s="23"/>
      <c r="O492" s="23"/>
    </row>
    <row r="493">
      <c r="B493" s="23"/>
      <c r="C493" s="23"/>
      <c r="E493" s="24"/>
      <c r="G493" s="23"/>
      <c r="H493" s="23"/>
      <c r="I493" s="23"/>
      <c r="J493" s="23"/>
      <c r="K493" s="23"/>
      <c r="L493" s="23"/>
      <c r="M493" s="23"/>
      <c r="N493" s="23"/>
      <c r="O493" s="23"/>
    </row>
    <row r="494">
      <c r="B494" s="23"/>
      <c r="C494" s="23"/>
      <c r="E494" s="24"/>
      <c r="G494" s="23"/>
      <c r="H494" s="23"/>
      <c r="I494" s="23"/>
      <c r="J494" s="23"/>
      <c r="K494" s="23"/>
      <c r="L494" s="23"/>
      <c r="M494" s="23"/>
      <c r="N494" s="23"/>
      <c r="O494" s="23"/>
    </row>
    <row r="495">
      <c r="B495" s="23"/>
      <c r="C495" s="23"/>
      <c r="E495" s="24"/>
      <c r="G495" s="23"/>
      <c r="H495" s="23"/>
      <c r="I495" s="23"/>
      <c r="J495" s="23"/>
      <c r="K495" s="23"/>
      <c r="L495" s="23"/>
      <c r="M495" s="23"/>
      <c r="N495" s="23"/>
      <c r="O495" s="23"/>
    </row>
    <row r="496">
      <c r="B496" s="23"/>
      <c r="C496" s="23"/>
      <c r="E496" s="24"/>
      <c r="G496" s="23"/>
      <c r="H496" s="23"/>
      <c r="I496" s="23"/>
      <c r="J496" s="23"/>
      <c r="K496" s="23"/>
      <c r="L496" s="23"/>
      <c r="M496" s="23"/>
      <c r="N496" s="23"/>
      <c r="O496" s="23"/>
    </row>
    <row r="497">
      <c r="B497" s="23"/>
      <c r="C497" s="23"/>
      <c r="E497" s="24"/>
      <c r="G497" s="23"/>
      <c r="H497" s="23"/>
      <c r="I497" s="23"/>
      <c r="J497" s="23"/>
      <c r="K497" s="23"/>
      <c r="L497" s="23"/>
      <c r="M497" s="23"/>
      <c r="N497" s="23"/>
      <c r="O497" s="23"/>
    </row>
    <row r="498">
      <c r="B498" s="23"/>
      <c r="C498" s="23"/>
      <c r="E498" s="24"/>
      <c r="G498" s="23"/>
      <c r="H498" s="23"/>
      <c r="I498" s="23"/>
      <c r="J498" s="23"/>
      <c r="K498" s="23"/>
      <c r="L498" s="23"/>
      <c r="M498" s="23"/>
      <c r="N498" s="23"/>
      <c r="O498" s="23"/>
    </row>
    <row r="499">
      <c r="B499" s="23"/>
      <c r="C499" s="23"/>
      <c r="E499" s="24"/>
      <c r="G499" s="23"/>
      <c r="H499" s="23"/>
      <c r="I499" s="23"/>
      <c r="J499" s="23"/>
      <c r="K499" s="23"/>
      <c r="L499" s="23"/>
      <c r="M499" s="23"/>
      <c r="N499" s="23"/>
      <c r="O499" s="23"/>
    </row>
    <row r="500">
      <c r="B500" s="23"/>
      <c r="C500" s="23"/>
      <c r="E500" s="24"/>
      <c r="G500" s="23"/>
      <c r="H500" s="23"/>
      <c r="I500" s="23"/>
      <c r="J500" s="23"/>
      <c r="K500" s="23"/>
      <c r="L500" s="23"/>
      <c r="M500" s="23"/>
      <c r="N500" s="23"/>
      <c r="O500" s="23"/>
    </row>
    <row r="501">
      <c r="B501" s="23"/>
      <c r="C501" s="23"/>
      <c r="E501" s="24"/>
      <c r="G501" s="23"/>
      <c r="H501" s="23"/>
      <c r="I501" s="23"/>
      <c r="J501" s="23"/>
      <c r="K501" s="23"/>
      <c r="L501" s="23"/>
      <c r="M501" s="23"/>
      <c r="N501" s="23"/>
      <c r="O501" s="23"/>
    </row>
    <row r="502">
      <c r="B502" s="23"/>
      <c r="C502" s="23"/>
      <c r="E502" s="24"/>
      <c r="G502" s="23"/>
      <c r="H502" s="23"/>
      <c r="I502" s="23"/>
      <c r="J502" s="23"/>
      <c r="K502" s="23"/>
      <c r="L502" s="23"/>
      <c r="M502" s="23"/>
      <c r="N502" s="23"/>
      <c r="O502" s="23"/>
    </row>
    <row r="503">
      <c r="B503" s="23"/>
      <c r="C503" s="23"/>
      <c r="E503" s="24"/>
      <c r="G503" s="23"/>
      <c r="H503" s="23"/>
      <c r="I503" s="23"/>
      <c r="J503" s="23"/>
      <c r="K503" s="23"/>
      <c r="L503" s="23"/>
      <c r="M503" s="23"/>
      <c r="N503" s="23"/>
      <c r="O503" s="23"/>
    </row>
    <row r="504">
      <c r="B504" s="23"/>
      <c r="C504" s="23"/>
      <c r="E504" s="24"/>
      <c r="G504" s="23"/>
      <c r="H504" s="23"/>
      <c r="I504" s="23"/>
      <c r="J504" s="23"/>
      <c r="K504" s="23"/>
      <c r="L504" s="23"/>
      <c r="M504" s="23"/>
      <c r="N504" s="23"/>
      <c r="O504" s="23"/>
    </row>
    <row r="505">
      <c r="B505" s="23"/>
      <c r="C505" s="23"/>
      <c r="E505" s="24"/>
      <c r="G505" s="23"/>
      <c r="H505" s="23"/>
      <c r="I505" s="23"/>
      <c r="J505" s="23"/>
      <c r="K505" s="23"/>
      <c r="L505" s="23"/>
      <c r="M505" s="23"/>
      <c r="N505" s="23"/>
      <c r="O505" s="23"/>
    </row>
    <row r="506">
      <c r="B506" s="23"/>
      <c r="C506" s="23"/>
      <c r="E506" s="24"/>
      <c r="G506" s="23"/>
      <c r="H506" s="23"/>
      <c r="I506" s="23"/>
      <c r="J506" s="23"/>
      <c r="K506" s="23"/>
      <c r="L506" s="23"/>
      <c r="M506" s="23"/>
      <c r="N506" s="23"/>
      <c r="O506" s="23"/>
    </row>
    <row r="507">
      <c r="B507" s="23"/>
      <c r="C507" s="23"/>
      <c r="E507" s="24"/>
      <c r="G507" s="23"/>
      <c r="H507" s="23"/>
      <c r="I507" s="23"/>
      <c r="J507" s="23"/>
      <c r="K507" s="23"/>
      <c r="L507" s="23"/>
      <c r="M507" s="23"/>
      <c r="N507" s="23"/>
      <c r="O507" s="23"/>
    </row>
    <row r="508">
      <c r="B508" s="23"/>
      <c r="C508" s="23"/>
      <c r="E508" s="24"/>
      <c r="G508" s="23"/>
      <c r="H508" s="23"/>
      <c r="I508" s="23"/>
      <c r="J508" s="23"/>
      <c r="K508" s="23"/>
      <c r="L508" s="23"/>
      <c r="M508" s="23"/>
      <c r="N508" s="23"/>
      <c r="O508" s="23"/>
    </row>
    <row r="509">
      <c r="B509" s="23"/>
      <c r="C509" s="23"/>
      <c r="E509" s="24"/>
      <c r="G509" s="23"/>
      <c r="H509" s="23"/>
      <c r="I509" s="23"/>
      <c r="J509" s="23"/>
      <c r="K509" s="23"/>
      <c r="L509" s="23"/>
      <c r="M509" s="23"/>
      <c r="N509" s="23"/>
      <c r="O509" s="23"/>
    </row>
    <row r="510">
      <c r="B510" s="23"/>
      <c r="C510" s="23"/>
      <c r="E510" s="24"/>
      <c r="G510" s="23"/>
      <c r="H510" s="23"/>
      <c r="I510" s="23"/>
      <c r="J510" s="23"/>
      <c r="K510" s="23"/>
      <c r="L510" s="23"/>
      <c r="M510" s="23"/>
      <c r="N510" s="23"/>
      <c r="O510" s="23"/>
    </row>
    <row r="511">
      <c r="B511" s="23"/>
      <c r="C511" s="23"/>
      <c r="E511" s="24"/>
      <c r="G511" s="23"/>
      <c r="H511" s="23"/>
      <c r="I511" s="23"/>
      <c r="J511" s="23"/>
      <c r="K511" s="23"/>
      <c r="L511" s="23"/>
      <c r="M511" s="23"/>
      <c r="N511" s="23"/>
      <c r="O511" s="23"/>
    </row>
    <row r="512">
      <c r="B512" s="23"/>
      <c r="C512" s="23"/>
      <c r="E512" s="24"/>
      <c r="G512" s="23"/>
      <c r="H512" s="23"/>
      <c r="I512" s="23"/>
      <c r="J512" s="23"/>
      <c r="K512" s="23"/>
      <c r="L512" s="23"/>
      <c r="M512" s="23"/>
      <c r="N512" s="23"/>
      <c r="O512" s="23"/>
    </row>
    <row r="513">
      <c r="B513" s="23"/>
      <c r="C513" s="23"/>
      <c r="E513" s="24"/>
      <c r="G513" s="23"/>
      <c r="H513" s="23"/>
      <c r="I513" s="23"/>
      <c r="J513" s="23"/>
      <c r="K513" s="23"/>
      <c r="L513" s="23"/>
      <c r="M513" s="23"/>
      <c r="N513" s="23"/>
      <c r="O513" s="23"/>
    </row>
    <row r="514">
      <c r="B514" s="23"/>
      <c r="C514" s="23"/>
      <c r="E514" s="24"/>
      <c r="G514" s="23"/>
      <c r="H514" s="23"/>
      <c r="I514" s="23"/>
      <c r="J514" s="23"/>
      <c r="K514" s="23"/>
      <c r="L514" s="23"/>
      <c r="M514" s="23"/>
      <c r="N514" s="23"/>
      <c r="O514" s="23"/>
    </row>
    <row r="515">
      <c r="B515" s="23"/>
      <c r="C515" s="23"/>
      <c r="E515" s="24"/>
      <c r="G515" s="23"/>
      <c r="H515" s="23"/>
      <c r="I515" s="23"/>
      <c r="J515" s="23"/>
      <c r="K515" s="23"/>
      <c r="L515" s="23"/>
      <c r="M515" s="23"/>
      <c r="N515" s="23"/>
      <c r="O515" s="23"/>
    </row>
    <row r="516">
      <c r="B516" s="23"/>
      <c r="C516" s="23"/>
      <c r="E516" s="24"/>
      <c r="G516" s="23"/>
      <c r="H516" s="23"/>
      <c r="I516" s="23"/>
      <c r="J516" s="23"/>
      <c r="K516" s="23"/>
      <c r="L516" s="23"/>
      <c r="M516" s="23"/>
      <c r="N516" s="23"/>
      <c r="O516" s="23"/>
    </row>
    <row r="517">
      <c r="B517" s="23"/>
      <c r="C517" s="23"/>
      <c r="E517" s="24"/>
      <c r="G517" s="23"/>
      <c r="H517" s="23"/>
      <c r="I517" s="23"/>
      <c r="J517" s="23"/>
      <c r="K517" s="23"/>
      <c r="L517" s="23"/>
      <c r="M517" s="23"/>
      <c r="N517" s="23"/>
      <c r="O517" s="23"/>
    </row>
    <row r="518">
      <c r="B518" s="23"/>
      <c r="C518" s="23"/>
      <c r="E518" s="24"/>
      <c r="G518" s="23"/>
      <c r="H518" s="23"/>
      <c r="I518" s="23"/>
      <c r="J518" s="23"/>
      <c r="K518" s="23"/>
      <c r="L518" s="23"/>
      <c r="M518" s="23"/>
      <c r="N518" s="23"/>
      <c r="O518" s="23"/>
    </row>
    <row r="519">
      <c r="B519" s="23"/>
      <c r="C519" s="23"/>
      <c r="E519" s="24"/>
      <c r="G519" s="23"/>
      <c r="H519" s="23"/>
      <c r="I519" s="23"/>
      <c r="J519" s="23"/>
      <c r="K519" s="23"/>
      <c r="L519" s="23"/>
      <c r="M519" s="23"/>
      <c r="N519" s="23"/>
      <c r="O519" s="23"/>
    </row>
    <row r="520">
      <c r="B520" s="23"/>
      <c r="C520" s="23"/>
      <c r="E520" s="24"/>
      <c r="G520" s="23"/>
      <c r="H520" s="23"/>
      <c r="I520" s="23"/>
      <c r="J520" s="23"/>
      <c r="K520" s="23"/>
      <c r="L520" s="23"/>
      <c r="M520" s="23"/>
      <c r="N520" s="23"/>
      <c r="O520" s="23"/>
    </row>
    <row r="521">
      <c r="B521" s="23"/>
      <c r="C521" s="23"/>
      <c r="E521" s="24"/>
      <c r="G521" s="23"/>
      <c r="H521" s="23"/>
      <c r="I521" s="23"/>
      <c r="J521" s="23"/>
      <c r="K521" s="23"/>
      <c r="L521" s="23"/>
      <c r="M521" s="23"/>
      <c r="N521" s="23"/>
      <c r="O521" s="23"/>
    </row>
    <row r="522">
      <c r="B522" s="23"/>
      <c r="C522" s="23"/>
      <c r="E522" s="24"/>
      <c r="G522" s="23"/>
      <c r="H522" s="23"/>
      <c r="I522" s="23"/>
      <c r="J522" s="23"/>
      <c r="K522" s="23"/>
      <c r="L522" s="23"/>
      <c r="M522" s="23"/>
      <c r="N522" s="23"/>
      <c r="O522" s="23"/>
    </row>
    <row r="523">
      <c r="B523" s="23"/>
      <c r="C523" s="23"/>
      <c r="E523" s="24"/>
      <c r="G523" s="23"/>
      <c r="H523" s="23"/>
      <c r="I523" s="23"/>
      <c r="J523" s="23"/>
      <c r="K523" s="23"/>
      <c r="L523" s="23"/>
      <c r="M523" s="23"/>
      <c r="N523" s="23"/>
      <c r="O523" s="23"/>
    </row>
    <row r="524">
      <c r="B524" s="23"/>
      <c r="C524" s="23"/>
      <c r="E524" s="24"/>
      <c r="G524" s="23"/>
      <c r="H524" s="23"/>
      <c r="I524" s="23"/>
      <c r="J524" s="23"/>
      <c r="K524" s="23"/>
      <c r="L524" s="23"/>
      <c r="M524" s="23"/>
      <c r="N524" s="23"/>
      <c r="O524" s="23"/>
    </row>
    <row r="525">
      <c r="B525" s="23"/>
      <c r="C525" s="23"/>
      <c r="E525" s="24"/>
      <c r="G525" s="23"/>
      <c r="H525" s="23"/>
      <c r="I525" s="23"/>
      <c r="J525" s="23"/>
      <c r="K525" s="23"/>
      <c r="L525" s="23"/>
      <c r="M525" s="23"/>
      <c r="N525" s="23"/>
      <c r="O525" s="23"/>
    </row>
    <row r="526">
      <c r="B526" s="23"/>
      <c r="C526" s="23"/>
      <c r="E526" s="24"/>
      <c r="G526" s="23"/>
      <c r="H526" s="23"/>
      <c r="I526" s="23"/>
      <c r="J526" s="23"/>
      <c r="K526" s="23"/>
      <c r="L526" s="23"/>
      <c r="M526" s="23"/>
      <c r="N526" s="23"/>
      <c r="O526" s="23"/>
    </row>
    <row r="527">
      <c r="B527" s="23"/>
      <c r="C527" s="23"/>
      <c r="E527" s="24"/>
      <c r="G527" s="23"/>
      <c r="H527" s="23"/>
      <c r="I527" s="23"/>
      <c r="J527" s="23"/>
      <c r="K527" s="23"/>
      <c r="L527" s="23"/>
      <c r="M527" s="23"/>
      <c r="N527" s="23"/>
      <c r="O527" s="23"/>
    </row>
    <row r="528">
      <c r="B528" s="23"/>
      <c r="C528" s="23"/>
      <c r="E528" s="24"/>
      <c r="G528" s="23"/>
      <c r="H528" s="23"/>
      <c r="I528" s="23"/>
      <c r="J528" s="23"/>
      <c r="K528" s="23"/>
      <c r="L528" s="23"/>
      <c r="M528" s="23"/>
      <c r="N528" s="23"/>
      <c r="O528" s="23"/>
    </row>
    <row r="529">
      <c r="B529" s="23"/>
      <c r="C529" s="23"/>
      <c r="E529" s="24"/>
      <c r="G529" s="23"/>
      <c r="H529" s="23"/>
      <c r="I529" s="23"/>
      <c r="J529" s="23"/>
      <c r="K529" s="23"/>
      <c r="L529" s="23"/>
      <c r="M529" s="23"/>
      <c r="N529" s="23"/>
      <c r="O529" s="23"/>
    </row>
    <row r="530">
      <c r="B530" s="23"/>
      <c r="C530" s="23"/>
      <c r="E530" s="24"/>
      <c r="G530" s="23"/>
      <c r="H530" s="23"/>
      <c r="I530" s="23"/>
      <c r="J530" s="23"/>
      <c r="K530" s="23"/>
      <c r="L530" s="23"/>
      <c r="M530" s="23"/>
      <c r="N530" s="23"/>
      <c r="O530" s="23"/>
    </row>
    <row r="531">
      <c r="B531" s="23"/>
      <c r="C531" s="23"/>
      <c r="E531" s="24"/>
      <c r="G531" s="23"/>
      <c r="H531" s="23"/>
      <c r="I531" s="23"/>
      <c r="J531" s="23"/>
      <c r="K531" s="23"/>
      <c r="L531" s="23"/>
      <c r="M531" s="23"/>
      <c r="N531" s="23"/>
      <c r="O531" s="23"/>
    </row>
    <row r="532">
      <c r="B532" s="23"/>
      <c r="C532" s="23"/>
      <c r="E532" s="24"/>
      <c r="G532" s="23"/>
      <c r="H532" s="23"/>
      <c r="I532" s="23"/>
      <c r="J532" s="23"/>
      <c r="K532" s="23"/>
      <c r="L532" s="23"/>
      <c r="M532" s="23"/>
      <c r="N532" s="23"/>
      <c r="O532" s="23"/>
    </row>
    <row r="533">
      <c r="B533" s="23"/>
      <c r="C533" s="23"/>
      <c r="E533" s="24"/>
      <c r="G533" s="23"/>
      <c r="H533" s="23"/>
      <c r="I533" s="23"/>
      <c r="J533" s="23"/>
      <c r="K533" s="23"/>
      <c r="L533" s="23"/>
      <c r="M533" s="23"/>
      <c r="N533" s="23"/>
      <c r="O533" s="23"/>
    </row>
    <row r="534">
      <c r="B534" s="23"/>
      <c r="C534" s="23"/>
      <c r="E534" s="24"/>
      <c r="G534" s="23"/>
      <c r="H534" s="23"/>
      <c r="I534" s="23"/>
      <c r="J534" s="23"/>
      <c r="K534" s="23"/>
      <c r="L534" s="23"/>
      <c r="M534" s="23"/>
      <c r="N534" s="23"/>
      <c r="O534" s="23"/>
    </row>
    <row r="535">
      <c r="B535" s="23"/>
      <c r="C535" s="23"/>
      <c r="E535" s="24"/>
      <c r="G535" s="23"/>
      <c r="H535" s="23"/>
      <c r="I535" s="23"/>
      <c r="J535" s="23"/>
      <c r="K535" s="23"/>
      <c r="L535" s="23"/>
      <c r="M535" s="23"/>
      <c r="N535" s="23"/>
      <c r="O535" s="23"/>
    </row>
    <row r="536">
      <c r="B536" s="23"/>
      <c r="C536" s="23"/>
      <c r="E536" s="24"/>
      <c r="G536" s="23"/>
      <c r="H536" s="23"/>
      <c r="I536" s="23"/>
      <c r="J536" s="23"/>
      <c r="K536" s="23"/>
      <c r="L536" s="23"/>
      <c r="M536" s="23"/>
      <c r="N536" s="23"/>
      <c r="O536" s="23"/>
    </row>
    <row r="537">
      <c r="B537" s="23"/>
      <c r="C537" s="23"/>
      <c r="E537" s="24"/>
      <c r="G537" s="23"/>
      <c r="H537" s="23"/>
      <c r="I537" s="23"/>
      <c r="J537" s="23"/>
      <c r="K537" s="23"/>
      <c r="L537" s="23"/>
      <c r="M537" s="23"/>
      <c r="N537" s="23"/>
      <c r="O537" s="23"/>
    </row>
    <row r="538">
      <c r="B538" s="23"/>
      <c r="C538" s="23"/>
      <c r="E538" s="24"/>
      <c r="G538" s="23"/>
      <c r="H538" s="23"/>
      <c r="I538" s="23"/>
      <c r="J538" s="23"/>
      <c r="K538" s="23"/>
      <c r="L538" s="23"/>
      <c r="M538" s="23"/>
      <c r="N538" s="23"/>
      <c r="O538" s="23"/>
    </row>
    <row r="539">
      <c r="B539" s="23"/>
      <c r="C539" s="23"/>
      <c r="E539" s="24"/>
      <c r="G539" s="23"/>
      <c r="H539" s="23"/>
      <c r="I539" s="23"/>
      <c r="J539" s="23"/>
      <c r="K539" s="23"/>
      <c r="L539" s="23"/>
      <c r="M539" s="23"/>
      <c r="N539" s="23"/>
      <c r="O539" s="23"/>
    </row>
    <row r="540">
      <c r="B540" s="23"/>
      <c r="C540" s="23"/>
      <c r="E540" s="24"/>
      <c r="G540" s="23"/>
      <c r="H540" s="23"/>
      <c r="I540" s="23"/>
      <c r="J540" s="23"/>
      <c r="K540" s="23"/>
      <c r="L540" s="23"/>
      <c r="M540" s="23"/>
      <c r="N540" s="23"/>
      <c r="O540" s="23"/>
    </row>
    <row r="541">
      <c r="B541" s="23"/>
      <c r="C541" s="23"/>
      <c r="E541" s="24"/>
      <c r="G541" s="23"/>
      <c r="H541" s="23"/>
      <c r="I541" s="23"/>
      <c r="J541" s="23"/>
      <c r="K541" s="23"/>
      <c r="L541" s="23"/>
      <c r="M541" s="23"/>
      <c r="N541" s="23"/>
      <c r="O541" s="23"/>
    </row>
    <row r="542">
      <c r="B542" s="23"/>
      <c r="C542" s="23"/>
      <c r="E542" s="24"/>
      <c r="G542" s="23"/>
      <c r="H542" s="23"/>
      <c r="I542" s="23"/>
      <c r="J542" s="23"/>
      <c r="K542" s="23"/>
      <c r="L542" s="23"/>
      <c r="M542" s="23"/>
      <c r="N542" s="23"/>
      <c r="O542" s="23"/>
    </row>
    <row r="543">
      <c r="B543" s="23"/>
      <c r="C543" s="23"/>
      <c r="E543" s="24"/>
      <c r="G543" s="23"/>
      <c r="H543" s="23"/>
      <c r="I543" s="23"/>
      <c r="J543" s="23"/>
      <c r="K543" s="23"/>
      <c r="L543" s="23"/>
      <c r="M543" s="23"/>
      <c r="N543" s="23"/>
      <c r="O543" s="23"/>
    </row>
    <row r="544">
      <c r="B544" s="23"/>
      <c r="C544" s="23"/>
      <c r="E544" s="24"/>
      <c r="G544" s="23"/>
      <c r="H544" s="23"/>
      <c r="I544" s="23"/>
      <c r="J544" s="23"/>
      <c r="K544" s="23"/>
      <c r="L544" s="23"/>
      <c r="M544" s="23"/>
      <c r="N544" s="23"/>
      <c r="O544" s="23"/>
    </row>
    <row r="545">
      <c r="B545" s="23"/>
      <c r="C545" s="23"/>
      <c r="E545" s="24"/>
      <c r="G545" s="23"/>
      <c r="H545" s="23"/>
      <c r="I545" s="23"/>
      <c r="J545" s="23"/>
      <c r="K545" s="23"/>
      <c r="L545" s="23"/>
      <c r="M545" s="23"/>
      <c r="N545" s="23"/>
      <c r="O545" s="23"/>
    </row>
    <row r="546">
      <c r="B546" s="23"/>
      <c r="C546" s="23"/>
      <c r="E546" s="24"/>
      <c r="G546" s="23"/>
      <c r="H546" s="23"/>
      <c r="I546" s="23"/>
      <c r="J546" s="23"/>
      <c r="K546" s="23"/>
      <c r="L546" s="23"/>
      <c r="M546" s="23"/>
      <c r="N546" s="23"/>
      <c r="O546" s="23"/>
    </row>
    <row r="547">
      <c r="B547" s="23"/>
      <c r="C547" s="23"/>
      <c r="E547" s="24"/>
      <c r="G547" s="23"/>
      <c r="H547" s="23"/>
      <c r="I547" s="23"/>
      <c r="J547" s="23"/>
      <c r="K547" s="23"/>
      <c r="L547" s="23"/>
      <c r="M547" s="23"/>
      <c r="N547" s="23"/>
      <c r="O547" s="23"/>
    </row>
    <row r="548">
      <c r="B548" s="23"/>
      <c r="C548" s="23"/>
      <c r="E548" s="24"/>
      <c r="G548" s="23"/>
      <c r="H548" s="23"/>
      <c r="I548" s="23"/>
      <c r="J548" s="23"/>
      <c r="K548" s="23"/>
      <c r="L548" s="23"/>
      <c r="M548" s="23"/>
      <c r="N548" s="23"/>
      <c r="O548" s="23"/>
    </row>
    <row r="549">
      <c r="B549" s="23"/>
      <c r="C549" s="23"/>
      <c r="E549" s="24"/>
      <c r="G549" s="23"/>
      <c r="H549" s="23"/>
      <c r="I549" s="23"/>
      <c r="J549" s="23"/>
      <c r="K549" s="23"/>
      <c r="L549" s="23"/>
      <c r="M549" s="23"/>
      <c r="N549" s="23"/>
      <c r="O549" s="23"/>
    </row>
    <row r="550">
      <c r="B550" s="23"/>
      <c r="C550" s="23"/>
      <c r="E550" s="24"/>
      <c r="G550" s="23"/>
      <c r="H550" s="23"/>
      <c r="I550" s="23"/>
      <c r="J550" s="23"/>
      <c r="K550" s="23"/>
      <c r="L550" s="23"/>
      <c r="M550" s="23"/>
      <c r="N550" s="23"/>
      <c r="O550" s="23"/>
    </row>
    <row r="551">
      <c r="B551" s="23"/>
      <c r="C551" s="23"/>
      <c r="E551" s="24"/>
      <c r="G551" s="23"/>
      <c r="H551" s="23"/>
      <c r="I551" s="23"/>
      <c r="J551" s="23"/>
      <c r="K551" s="23"/>
      <c r="L551" s="23"/>
      <c r="M551" s="23"/>
      <c r="N551" s="23"/>
      <c r="O551" s="23"/>
    </row>
    <row r="552">
      <c r="B552" s="23"/>
      <c r="C552" s="23"/>
      <c r="E552" s="24"/>
      <c r="G552" s="23"/>
      <c r="H552" s="23"/>
      <c r="I552" s="23"/>
      <c r="J552" s="23"/>
      <c r="K552" s="23"/>
      <c r="L552" s="23"/>
      <c r="M552" s="23"/>
      <c r="N552" s="23"/>
      <c r="O552" s="23"/>
    </row>
    <row r="553">
      <c r="B553" s="23"/>
      <c r="C553" s="23"/>
      <c r="E553" s="24"/>
      <c r="G553" s="23"/>
      <c r="H553" s="23"/>
      <c r="I553" s="23"/>
      <c r="J553" s="23"/>
      <c r="K553" s="23"/>
      <c r="L553" s="23"/>
      <c r="M553" s="23"/>
      <c r="N553" s="23"/>
      <c r="O553" s="23"/>
    </row>
    <row r="554">
      <c r="B554" s="23"/>
      <c r="C554" s="23"/>
      <c r="E554" s="24"/>
      <c r="G554" s="23"/>
      <c r="H554" s="23"/>
      <c r="I554" s="23"/>
      <c r="J554" s="23"/>
      <c r="K554" s="23"/>
      <c r="L554" s="23"/>
      <c r="M554" s="23"/>
      <c r="N554" s="23"/>
      <c r="O554" s="23"/>
    </row>
    <row r="555">
      <c r="B555" s="23"/>
      <c r="C555" s="23"/>
      <c r="E555" s="24"/>
      <c r="G555" s="23"/>
      <c r="H555" s="23"/>
      <c r="I555" s="23"/>
      <c r="J555" s="23"/>
      <c r="K555" s="23"/>
      <c r="L555" s="23"/>
      <c r="M555" s="23"/>
      <c r="N555" s="23"/>
      <c r="O555" s="23"/>
    </row>
    <row r="556">
      <c r="B556" s="23"/>
      <c r="C556" s="23"/>
      <c r="E556" s="24"/>
      <c r="G556" s="23"/>
      <c r="H556" s="23"/>
      <c r="I556" s="23"/>
      <c r="J556" s="23"/>
      <c r="K556" s="23"/>
      <c r="L556" s="23"/>
      <c r="M556" s="23"/>
      <c r="N556" s="23"/>
      <c r="O556" s="23"/>
    </row>
    <row r="557">
      <c r="B557" s="23"/>
      <c r="C557" s="23"/>
      <c r="E557" s="24"/>
      <c r="G557" s="23"/>
      <c r="H557" s="23"/>
      <c r="I557" s="23"/>
      <c r="J557" s="23"/>
      <c r="K557" s="23"/>
      <c r="L557" s="23"/>
      <c r="M557" s="23"/>
      <c r="N557" s="23"/>
      <c r="O557" s="23"/>
    </row>
    <row r="558">
      <c r="B558" s="23"/>
      <c r="C558" s="23"/>
      <c r="E558" s="24"/>
      <c r="G558" s="23"/>
      <c r="H558" s="23"/>
      <c r="I558" s="23"/>
      <c r="J558" s="23"/>
      <c r="K558" s="23"/>
      <c r="L558" s="23"/>
      <c r="M558" s="23"/>
      <c r="N558" s="23"/>
      <c r="O558" s="23"/>
    </row>
    <row r="559">
      <c r="B559" s="23"/>
      <c r="C559" s="23"/>
      <c r="E559" s="24"/>
      <c r="G559" s="23"/>
      <c r="H559" s="23"/>
      <c r="I559" s="23"/>
      <c r="J559" s="23"/>
      <c r="K559" s="23"/>
      <c r="L559" s="23"/>
      <c r="M559" s="23"/>
      <c r="N559" s="23"/>
      <c r="O559" s="23"/>
    </row>
    <row r="560">
      <c r="B560" s="23"/>
      <c r="C560" s="23"/>
      <c r="E560" s="24"/>
      <c r="G560" s="23"/>
      <c r="H560" s="23"/>
      <c r="I560" s="23"/>
      <c r="J560" s="23"/>
      <c r="K560" s="23"/>
      <c r="L560" s="23"/>
      <c r="M560" s="23"/>
      <c r="N560" s="23"/>
      <c r="O560" s="23"/>
    </row>
    <row r="561">
      <c r="B561" s="23"/>
      <c r="C561" s="23"/>
      <c r="E561" s="24"/>
      <c r="G561" s="23"/>
      <c r="H561" s="23"/>
      <c r="I561" s="23"/>
      <c r="J561" s="23"/>
      <c r="K561" s="23"/>
      <c r="L561" s="23"/>
      <c r="M561" s="23"/>
      <c r="N561" s="23"/>
      <c r="O561" s="23"/>
    </row>
    <row r="562">
      <c r="B562" s="23"/>
      <c r="C562" s="23"/>
      <c r="E562" s="24"/>
      <c r="G562" s="23"/>
      <c r="H562" s="23"/>
      <c r="I562" s="23"/>
      <c r="J562" s="23"/>
      <c r="K562" s="23"/>
      <c r="L562" s="23"/>
      <c r="M562" s="23"/>
      <c r="N562" s="23"/>
      <c r="O562" s="23"/>
    </row>
    <row r="563">
      <c r="B563" s="23"/>
      <c r="C563" s="23"/>
      <c r="E563" s="24"/>
      <c r="G563" s="23"/>
      <c r="H563" s="23"/>
      <c r="I563" s="23"/>
      <c r="J563" s="23"/>
      <c r="K563" s="23"/>
      <c r="L563" s="23"/>
      <c r="M563" s="23"/>
      <c r="N563" s="23"/>
      <c r="O563" s="23"/>
    </row>
    <row r="564">
      <c r="B564" s="23"/>
      <c r="C564" s="23"/>
      <c r="E564" s="24"/>
      <c r="G564" s="23"/>
      <c r="H564" s="23"/>
      <c r="I564" s="23"/>
      <c r="J564" s="23"/>
      <c r="K564" s="23"/>
      <c r="L564" s="23"/>
      <c r="M564" s="23"/>
      <c r="N564" s="23"/>
      <c r="O564" s="23"/>
    </row>
    <row r="565">
      <c r="B565" s="23"/>
      <c r="C565" s="23"/>
      <c r="E565" s="24"/>
      <c r="G565" s="23"/>
      <c r="H565" s="23"/>
      <c r="I565" s="23"/>
      <c r="J565" s="23"/>
      <c r="K565" s="23"/>
      <c r="L565" s="23"/>
      <c r="M565" s="23"/>
      <c r="N565" s="23"/>
      <c r="O565" s="23"/>
    </row>
    <row r="566">
      <c r="B566" s="23"/>
      <c r="C566" s="23"/>
      <c r="E566" s="24"/>
      <c r="G566" s="23"/>
      <c r="H566" s="23"/>
      <c r="I566" s="23"/>
      <c r="J566" s="23"/>
      <c r="K566" s="23"/>
      <c r="L566" s="23"/>
      <c r="M566" s="23"/>
      <c r="N566" s="23"/>
      <c r="O566" s="23"/>
    </row>
    <row r="567">
      <c r="B567" s="23"/>
      <c r="C567" s="23"/>
      <c r="E567" s="24"/>
      <c r="G567" s="23"/>
      <c r="H567" s="23"/>
      <c r="I567" s="23"/>
      <c r="J567" s="23"/>
      <c r="K567" s="23"/>
      <c r="L567" s="23"/>
      <c r="M567" s="23"/>
      <c r="N567" s="23"/>
      <c r="O567" s="23"/>
    </row>
    <row r="568">
      <c r="B568" s="23"/>
      <c r="C568" s="23"/>
      <c r="E568" s="24"/>
      <c r="G568" s="23"/>
      <c r="H568" s="23"/>
      <c r="I568" s="23"/>
      <c r="J568" s="23"/>
      <c r="K568" s="23"/>
      <c r="L568" s="23"/>
      <c r="M568" s="23"/>
      <c r="N568" s="23"/>
      <c r="O568" s="23"/>
    </row>
    <row r="569">
      <c r="B569" s="23"/>
      <c r="C569" s="23"/>
      <c r="E569" s="24"/>
      <c r="G569" s="23"/>
      <c r="H569" s="23"/>
      <c r="I569" s="23"/>
      <c r="J569" s="23"/>
      <c r="K569" s="23"/>
      <c r="L569" s="23"/>
      <c r="M569" s="23"/>
      <c r="N569" s="23"/>
      <c r="O569" s="23"/>
    </row>
    <row r="570">
      <c r="B570" s="23"/>
      <c r="C570" s="23"/>
      <c r="E570" s="24"/>
      <c r="G570" s="23"/>
      <c r="H570" s="23"/>
      <c r="I570" s="23"/>
      <c r="J570" s="23"/>
      <c r="K570" s="23"/>
      <c r="L570" s="23"/>
      <c r="M570" s="23"/>
      <c r="N570" s="23"/>
      <c r="O570" s="23"/>
    </row>
    <row r="571">
      <c r="B571" s="23"/>
      <c r="C571" s="23"/>
      <c r="E571" s="24"/>
      <c r="G571" s="23"/>
      <c r="H571" s="23"/>
      <c r="I571" s="23"/>
      <c r="J571" s="23"/>
      <c r="K571" s="23"/>
      <c r="L571" s="23"/>
      <c r="M571" s="23"/>
      <c r="N571" s="23"/>
      <c r="O571" s="23"/>
    </row>
    <row r="572">
      <c r="B572" s="23"/>
      <c r="C572" s="23"/>
      <c r="E572" s="24"/>
      <c r="G572" s="23"/>
      <c r="H572" s="23"/>
      <c r="I572" s="23"/>
      <c r="J572" s="23"/>
      <c r="K572" s="23"/>
      <c r="L572" s="23"/>
      <c r="M572" s="23"/>
      <c r="N572" s="23"/>
      <c r="O572" s="23"/>
    </row>
    <row r="573">
      <c r="B573" s="23"/>
      <c r="C573" s="23"/>
      <c r="E573" s="24"/>
      <c r="G573" s="23"/>
      <c r="H573" s="23"/>
      <c r="I573" s="23"/>
      <c r="J573" s="23"/>
      <c r="K573" s="23"/>
      <c r="L573" s="23"/>
      <c r="M573" s="23"/>
      <c r="N573" s="23"/>
      <c r="O573" s="23"/>
    </row>
    <row r="574">
      <c r="B574" s="23"/>
      <c r="C574" s="23"/>
      <c r="E574" s="24"/>
      <c r="G574" s="23"/>
      <c r="H574" s="23"/>
      <c r="I574" s="23"/>
      <c r="J574" s="23"/>
      <c r="K574" s="23"/>
      <c r="L574" s="23"/>
      <c r="M574" s="23"/>
      <c r="N574" s="23"/>
      <c r="O574" s="23"/>
    </row>
    <row r="575">
      <c r="B575" s="23"/>
      <c r="C575" s="23"/>
      <c r="E575" s="24"/>
      <c r="G575" s="23"/>
      <c r="H575" s="23"/>
      <c r="I575" s="23"/>
      <c r="J575" s="23"/>
      <c r="K575" s="23"/>
      <c r="L575" s="23"/>
      <c r="M575" s="23"/>
      <c r="N575" s="23"/>
      <c r="O575" s="23"/>
    </row>
    <row r="576">
      <c r="B576" s="23"/>
      <c r="C576" s="23"/>
      <c r="E576" s="24"/>
      <c r="G576" s="23"/>
      <c r="H576" s="23"/>
      <c r="I576" s="23"/>
      <c r="J576" s="23"/>
      <c r="K576" s="23"/>
      <c r="L576" s="23"/>
      <c r="M576" s="23"/>
      <c r="N576" s="23"/>
      <c r="O576" s="23"/>
    </row>
    <row r="577">
      <c r="B577" s="23"/>
      <c r="C577" s="23"/>
      <c r="E577" s="24"/>
      <c r="G577" s="23"/>
      <c r="H577" s="23"/>
      <c r="I577" s="23"/>
      <c r="J577" s="23"/>
      <c r="K577" s="23"/>
      <c r="L577" s="23"/>
      <c r="M577" s="23"/>
      <c r="N577" s="23"/>
      <c r="O577" s="23"/>
    </row>
    <row r="578">
      <c r="B578" s="23"/>
      <c r="C578" s="23"/>
      <c r="E578" s="24"/>
      <c r="G578" s="23"/>
      <c r="H578" s="23"/>
      <c r="I578" s="23"/>
      <c r="J578" s="23"/>
      <c r="K578" s="23"/>
      <c r="L578" s="23"/>
      <c r="M578" s="23"/>
      <c r="N578" s="23"/>
      <c r="O578" s="23"/>
    </row>
    <row r="579">
      <c r="B579" s="23"/>
      <c r="C579" s="23"/>
      <c r="E579" s="24"/>
      <c r="G579" s="23"/>
      <c r="H579" s="23"/>
      <c r="I579" s="23"/>
      <c r="J579" s="23"/>
      <c r="K579" s="23"/>
      <c r="L579" s="23"/>
      <c r="M579" s="23"/>
      <c r="N579" s="23"/>
      <c r="O579" s="23"/>
    </row>
    <row r="580">
      <c r="B580" s="23"/>
      <c r="C580" s="23"/>
      <c r="E580" s="24"/>
      <c r="G580" s="23"/>
      <c r="H580" s="23"/>
      <c r="I580" s="23"/>
      <c r="J580" s="23"/>
      <c r="K580" s="23"/>
      <c r="L580" s="23"/>
      <c r="M580" s="23"/>
      <c r="N580" s="23"/>
      <c r="O580" s="23"/>
    </row>
    <row r="581">
      <c r="B581" s="23"/>
      <c r="C581" s="23"/>
      <c r="E581" s="24"/>
      <c r="G581" s="23"/>
      <c r="H581" s="23"/>
      <c r="I581" s="23"/>
      <c r="J581" s="23"/>
      <c r="K581" s="23"/>
      <c r="L581" s="23"/>
      <c r="M581" s="23"/>
      <c r="N581" s="23"/>
      <c r="O581" s="23"/>
    </row>
    <row r="582">
      <c r="B582" s="23"/>
      <c r="C582" s="23"/>
      <c r="E582" s="24"/>
      <c r="G582" s="23"/>
      <c r="H582" s="23"/>
      <c r="I582" s="23"/>
      <c r="J582" s="23"/>
      <c r="K582" s="23"/>
      <c r="L582" s="23"/>
      <c r="M582" s="23"/>
      <c r="N582" s="23"/>
      <c r="O582" s="23"/>
    </row>
    <row r="583">
      <c r="B583" s="23"/>
      <c r="C583" s="23"/>
      <c r="E583" s="24"/>
      <c r="G583" s="23"/>
      <c r="H583" s="23"/>
      <c r="I583" s="23"/>
      <c r="J583" s="23"/>
      <c r="K583" s="23"/>
      <c r="L583" s="23"/>
      <c r="M583" s="23"/>
      <c r="N583" s="23"/>
      <c r="O583" s="23"/>
    </row>
    <row r="584">
      <c r="B584" s="23"/>
      <c r="C584" s="23"/>
      <c r="E584" s="24"/>
      <c r="G584" s="23"/>
      <c r="H584" s="23"/>
      <c r="I584" s="23"/>
      <c r="J584" s="23"/>
      <c r="K584" s="23"/>
      <c r="L584" s="23"/>
      <c r="M584" s="23"/>
      <c r="N584" s="23"/>
      <c r="O584" s="23"/>
    </row>
    <row r="585">
      <c r="B585" s="23"/>
      <c r="C585" s="23"/>
      <c r="E585" s="24"/>
      <c r="G585" s="23"/>
      <c r="H585" s="23"/>
      <c r="I585" s="23"/>
      <c r="J585" s="23"/>
      <c r="K585" s="23"/>
      <c r="L585" s="23"/>
      <c r="M585" s="23"/>
      <c r="N585" s="23"/>
      <c r="O585" s="23"/>
    </row>
    <row r="586">
      <c r="B586" s="23"/>
      <c r="C586" s="23"/>
      <c r="E586" s="24"/>
      <c r="G586" s="23"/>
      <c r="H586" s="23"/>
      <c r="I586" s="23"/>
      <c r="J586" s="23"/>
      <c r="K586" s="23"/>
      <c r="L586" s="23"/>
      <c r="M586" s="23"/>
      <c r="N586" s="23"/>
      <c r="O586" s="23"/>
    </row>
    <row r="587">
      <c r="B587" s="23"/>
      <c r="C587" s="23"/>
      <c r="E587" s="24"/>
      <c r="G587" s="23"/>
      <c r="H587" s="23"/>
      <c r="I587" s="23"/>
      <c r="J587" s="23"/>
      <c r="K587" s="23"/>
      <c r="L587" s="23"/>
      <c r="M587" s="23"/>
      <c r="N587" s="23"/>
      <c r="O587" s="23"/>
    </row>
    <row r="588">
      <c r="B588" s="23"/>
      <c r="C588" s="23"/>
      <c r="E588" s="24"/>
      <c r="G588" s="23"/>
      <c r="H588" s="23"/>
      <c r="I588" s="23"/>
      <c r="J588" s="23"/>
      <c r="K588" s="23"/>
      <c r="L588" s="23"/>
      <c r="M588" s="23"/>
      <c r="N588" s="23"/>
      <c r="O588" s="23"/>
    </row>
    <row r="589">
      <c r="B589" s="23"/>
      <c r="C589" s="23"/>
      <c r="E589" s="24"/>
      <c r="G589" s="23"/>
      <c r="H589" s="23"/>
      <c r="I589" s="23"/>
      <c r="J589" s="23"/>
      <c r="K589" s="23"/>
      <c r="L589" s="23"/>
      <c r="M589" s="23"/>
      <c r="N589" s="23"/>
      <c r="O589" s="23"/>
    </row>
    <row r="590">
      <c r="B590" s="23"/>
      <c r="C590" s="23"/>
      <c r="E590" s="24"/>
      <c r="G590" s="23"/>
      <c r="H590" s="23"/>
      <c r="I590" s="23"/>
      <c r="J590" s="23"/>
      <c r="K590" s="23"/>
      <c r="L590" s="23"/>
      <c r="M590" s="23"/>
      <c r="N590" s="23"/>
      <c r="O590" s="23"/>
    </row>
    <row r="591">
      <c r="B591" s="23"/>
      <c r="C591" s="23"/>
      <c r="E591" s="24"/>
      <c r="G591" s="23"/>
      <c r="H591" s="23"/>
      <c r="I591" s="23"/>
      <c r="J591" s="23"/>
      <c r="K591" s="23"/>
      <c r="L591" s="23"/>
      <c r="M591" s="23"/>
      <c r="N591" s="23"/>
      <c r="O591" s="23"/>
    </row>
    <row r="592">
      <c r="B592" s="23"/>
      <c r="C592" s="23"/>
      <c r="E592" s="24"/>
      <c r="G592" s="23"/>
      <c r="H592" s="23"/>
      <c r="I592" s="23"/>
      <c r="J592" s="23"/>
      <c r="K592" s="23"/>
      <c r="L592" s="23"/>
      <c r="M592" s="23"/>
      <c r="N592" s="23"/>
      <c r="O592" s="23"/>
    </row>
    <row r="593">
      <c r="B593" s="23"/>
      <c r="C593" s="23"/>
      <c r="E593" s="24"/>
      <c r="G593" s="23"/>
      <c r="H593" s="23"/>
      <c r="I593" s="23"/>
      <c r="J593" s="23"/>
      <c r="K593" s="23"/>
      <c r="L593" s="23"/>
      <c r="M593" s="23"/>
      <c r="N593" s="23"/>
      <c r="O593" s="23"/>
    </row>
    <row r="594">
      <c r="B594" s="23"/>
      <c r="C594" s="23"/>
      <c r="E594" s="24"/>
      <c r="G594" s="23"/>
      <c r="H594" s="23"/>
      <c r="I594" s="23"/>
      <c r="J594" s="23"/>
      <c r="K594" s="23"/>
      <c r="L594" s="23"/>
      <c r="M594" s="23"/>
      <c r="N594" s="23"/>
      <c r="O594" s="23"/>
    </row>
    <row r="595">
      <c r="B595" s="23"/>
      <c r="C595" s="23"/>
      <c r="E595" s="24"/>
      <c r="G595" s="23"/>
      <c r="H595" s="23"/>
      <c r="I595" s="23"/>
      <c r="J595" s="23"/>
      <c r="K595" s="23"/>
      <c r="L595" s="23"/>
      <c r="M595" s="23"/>
      <c r="N595" s="23"/>
      <c r="O595" s="23"/>
    </row>
    <row r="596">
      <c r="B596" s="23"/>
      <c r="C596" s="23"/>
      <c r="E596" s="24"/>
      <c r="G596" s="23"/>
      <c r="H596" s="23"/>
      <c r="I596" s="23"/>
      <c r="J596" s="23"/>
      <c r="K596" s="23"/>
      <c r="L596" s="23"/>
      <c r="M596" s="23"/>
      <c r="N596" s="23"/>
      <c r="O596" s="23"/>
    </row>
    <row r="597">
      <c r="B597" s="23"/>
      <c r="C597" s="23"/>
      <c r="E597" s="24"/>
      <c r="G597" s="23"/>
      <c r="H597" s="23"/>
      <c r="I597" s="23"/>
      <c r="J597" s="23"/>
      <c r="K597" s="23"/>
      <c r="L597" s="23"/>
      <c r="M597" s="23"/>
      <c r="N597" s="23"/>
      <c r="O597" s="23"/>
    </row>
    <row r="598">
      <c r="B598" s="23"/>
      <c r="C598" s="23"/>
      <c r="E598" s="24"/>
      <c r="G598" s="23"/>
      <c r="H598" s="23"/>
      <c r="I598" s="23"/>
      <c r="J598" s="23"/>
      <c r="K598" s="23"/>
      <c r="L598" s="23"/>
      <c r="M598" s="23"/>
      <c r="N598" s="23"/>
      <c r="O598" s="23"/>
    </row>
    <row r="599">
      <c r="B599" s="23"/>
      <c r="C599" s="23"/>
      <c r="E599" s="24"/>
      <c r="G599" s="23"/>
      <c r="H599" s="23"/>
      <c r="I599" s="23"/>
      <c r="J599" s="23"/>
      <c r="K599" s="23"/>
      <c r="L599" s="23"/>
      <c r="M599" s="23"/>
      <c r="N599" s="23"/>
      <c r="O599" s="23"/>
    </row>
    <row r="600">
      <c r="B600" s="23"/>
      <c r="C600" s="23"/>
      <c r="E600" s="24"/>
      <c r="G600" s="23"/>
      <c r="H600" s="23"/>
      <c r="I600" s="23"/>
      <c r="J600" s="23"/>
      <c r="K600" s="23"/>
      <c r="L600" s="23"/>
      <c r="M600" s="23"/>
      <c r="N600" s="23"/>
      <c r="O600" s="23"/>
    </row>
    <row r="601">
      <c r="B601" s="23"/>
      <c r="C601" s="23"/>
      <c r="E601" s="24"/>
      <c r="G601" s="23"/>
      <c r="H601" s="23"/>
      <c r="I601" s="23"/>
      <c r="J601" s="23"/>
      <c r="K601" s="23"/>
      <c r="L601" s="23"/>
      <c r="M601" s="23"/>
      <c r="N601" s="23"/>
      <c r="O601" s="23"/>
    </row>
    <row r="602">
      <c r="B602" s="23"/>
      <c r="C602" s="23"/>
      <c r="E602" s="24"/>
      <c r="G602" s="23"/>
      <c r="H602" s="23"/>
      <c r="I602" s="23"/>
      <c r="J602" s="23"/>
      <c r="K602" s="23"/>
      <c r="L602" s="23"/>
      <c r="M602" s="23"/>
      <c r="N602" s="23"/>
      <c r="O602" s="23"/>
    </row>
    <row r="603">
      <c r="B603" s="23"/>
      <c r="C603" s="23"/>
      <c r="E603" s="24"/>
      <c r="G603" s="23"/>
      <c r="H603" s="23"/>
      <c r="I603" s="23"/>
      <c r="J603" s="23"/>
      <c r="K603" s="23"/>
      <c r="L603" s="23"/>
      <c r="M603" s="23"/>
      <c r="N603" s="23"/>
      <c r="O603" s="23"/>
    </row>
    <row r="604">
      <c r="B604" s="23"/>
      <c r="C604" s="23"/>
      <c r="E604" s="24"/>
      <c r="G604" s="23"/>
      <c r="H604" s="23"/>
      <c r="I604" s="23"/>
      <c r="J604" s="23"/>
      <c r="K604" s="23"/>
      <c r="L604" s="23"/>
      <c r="M604" s="23"/>
      <c r="N604" s="23"/>
      <c r="O604" s="23"/>
    </row>
    <row r="605">
      <c r="B605" s="23"/>
      <c r="C605" s="23"/>
      <c r="E605" s="24"/>
      <c r="G605" s="23"/>
      <c r="H605" s="23"/>
      <c r="I605" s="23"/>
      <c r="J605" s="23"/>
      <c r="K605" s="23"/>
      <c r="L605" s="23"/>
      <c r="M605" s="23"/>
      <c r="N605" s="23"/>
      <c r="O605" s="23"/>
    </row>
    <row r="606">
      <c r="B606" s="23"/>
      <c r="C606" s="23"/>
      <c r="E606" s="24"/>
      <c r="G606" s="23"/>
      <c r="H606" s="23"/>
      <c r="I606" s="23"/>
      <c r="J606" s="23"/>
      <c r="K606" s="23"/>
      <c r="L606" s="23"/>
      <c r="M606" s="23"/>
      <c r="N606" s="23"/>
      <c r="O606" s="23"/>
    </row>
    <row r="607">
      <c r="B607" s="23"/>
      <c r="C607" s="23"/>
      <c r="E607" s="24"/>
      <c r="G607" s="23"/>
      <c r="H607" s="23"/>
      <c r="I607" s="23"/>
      <c r="J607" s="23"/>
      <c r="K607" s="23"/>
      <c r="L607" s="23"/>
      <c r="M607" s="23"/>
      <c r="N607" s="23"/>
      <c r="O607" s="23"/>
    </row>
    <row r="608">
      <c r="B608" s="23"/>
      <c r="C608" s="23"/>
      <c r="E608" s="24"/>
      <c r="G608" s="23"/>
      <c r="H608" s="23"/>
      <c r="I608" s="23"/>
      <c r="J608" s="23"/>
      <c r="K608" s="23"/>
      <c r="L608" s="23"/>
      <c r="M608" s="23"/>
      <c r="N608" s="23"/>
      <c r="O608" s="23"/>
    </row>
    <row r="609">
      <c r="B609" s="23"/>
      <c r="C609" s="23"/>
      <c r="E609" s="24"/>
      <c r="G609" s="23"/>
      <c r="H609" s="23"/>
      <c r="I609" s="23"/>
      <c r="J609" s="23"/>
      <c r="K609" s="23"/>
      <c r="L609" s="23"/>
      <c r="M609" s="23"/>
      <c r="N609" s="23"/>
      <c r="O609" s="23"/>
    </row>
    <row r="610">
      <c r="B610" s="23"/>
      <c r="C610" s="23"/>
      <c r="E610" s="24"/>
      <c r="G610" s="23"/>
      <c r="H610" s="23"/>
      <c r="I610" s="23"/>
      <c r="J610" s="23"/>
      <c r="K610" s="23"/>
      <c r="L610" s="23"/>
      <c r="M610" s="23"/>
      <c r="N610" s="23"/>
      <c r="O610" s="23"/>
    </row>
    <row r="611">
      <c r="B611" s="23"/>
      <c r="C611" s="23"/>
      <c r="E611" s="24"/>
      <c r="G611" s="23"/>
      <c r="H611" s="23"/>
      <c r="I611" s="23"/>
      <c r="J611" s="23"/>
      <c r="K611" s="23"/>
      <c r="L611" s="23"/>
      <c r="M611" s="23"/>
      <c r="N611" s="23"/>
      <c r="O611" s="23"/>
    </row>
    <row r="612">
      <c r="B612" s="23"/>
      <c r="C612" s="23"/>
      <c r="E612" s="24"/>
      <c r="G612" s="23"/>
      <c r="H612" s="23"/>
      <c r="I612" s="23"/>
      <c r="J612" s="23"/>
      <c r="K612" s="23"/>
      <c r="L612" s="23"/>
      <c r="M612" s="23"/>
      <c r="N612" s="23"/>
      <c r="O612" s="23"/>
    </row>
    <row r="613">
      <c r="B613" s="23"/>
      <c r="C613" s="23"/>
      <c r="E613" s="24"/>
      <c r="G613" s="23"/>
      <c r="H613" s="23"/>
      <c r="I613" s="23"/>
      <c r="J613" s="23"/>
      <c r="K613" s="23"/>
      <c r="L613" s="23"/>
      <c r="M613" s="23"/>
      <c r="N613" s="23"/>
      <c r="O613" s="23"/>
    </row>
    <row r="614">
      <c r="B614" s="23"/>
      <c r="C614" s="23"/>
      <c r="E614" s="24"/>
      <c r="G614" s="23"/>
      <c r="H614" s="23"/>
      <c r="I614" s="23"/>
      <c r="J614" s="23"/>
      <c r="K614" s="23"/>
      <c r="L614" s="23"/>
      <c r="M614" s="23"/>
      <c r="N614" s="23"/>
      <c r="O614" s="23"/>
    </row>
    <row r="615">
      <c r="B615" s="23"/>
      <c r="C615" s="23"/>
      <c r="E615" s="24"/>
      <c r="G615" s="23"/>
      <c r="H615" s="23"/>
      <c r="I615" s="23"/>
      <c r="J615" s="23"/>
      <c r="K615" s="23"/>
      <c r="L615" s="23"/>
      <c r="M615" s="23"/>
      <c r="N615" s="23"/>
      <c r="O615" s="23"/>
    </row>
    <row r="616">
      <c r="B616" s="23"/>
      <c r="C616" s="23"/>
      <c r="E616" s="24"/>
      <c r="G616" s="23"/>
      <c r="H616" s="23"/>
      <c r="I616" s="23"/>
      <c r="J616" s="23"/>
      <c r="K616" s="23"/>
      <c r="L616" s="23"/>
      <c r="M616" s="23"/>
      <c r="N616" s="23"/>
      <c r="O616" s="23"/>
    </row>
    <row r="617">
      <c r="B617" s="23"/>
      <c r="C617" s="23"/>
      <c r="E617" s="24"/>
      <c r="G617" s="23"/>
      <c r="H617" s="23"/>
      <c r="I617" s="23"/>
      <c r="J617" s="23"/>
      <c r="K617" s="23"/>
      <c r="L617" s="23"/>
      <c r="M617" s="23"/>
      <c r="N617" s="23"/>
      <c r="O617" s="23"/>
    </row>
    <row r="618">
      <c r="B618" s="23"/>
      <c r="C618" s="23"/>
      <c r="E618" s="24"/>
      <c r="G618" s="23"/>
      <c r="H618" s="23"/>
      <c r="I618" s="23"/>
      <c r="J618" s="23"/>
      <c r="K618" s="23"/>
      <c r="L618" s="23"/>
      <c r="M618" s="23"/>
      <c r="N618" s="23"/>
      <c r="O618" s="23"/>
    </row>
    <row r="619">
      <c r="B619" s="23"/>
      <c r="C619" s="23"/>
      <c r="E619" s="24"/>
      <c r="G619" s="23"/>
      <c r="H619" s="23"/>
      <c r="I619" s="23"/>
      <c r="J619" s="23"/>
      <c r="K619" s="23"/>
      <c r="L619" s="23"/>
      <c r="M619" s="23"/>
      <c r="N619" s="23"/>
      <c r="O619" s="23"/>
    </row>
    <row r="620">
      <c r="B620" s="23"/>
      <c r="C620" s="23"/>
      <c r="E620" s="24"/>
      <c r="G620" s="23"/>
      <c r="H620" s="23"/>
      <c r="I620" s="23"/>
      <c r="J620" s="23"/>
      <c r="K620" s="23"/>
      <c r="L620" s="23"/>
      <c r="M620" s="23"/>
      <c r="N620" s="23"/>
      <c r="O620" s="23"/>
    </row>
    <row r="621">
      <c r="B621" s="23"/>
      <c r="C621" s="23"/>
      <c r="E621" s="24"/>
      <c r="G621" s="23"/>
      <c r="H621" s="23"/>
      <c r="I621" s="23"/>
      <c r="J621" s="23"/>
      <c r="K621" s="23"/>
      <c r="L621" s="23"/>
      <c r="M621" s="23"/>
      <c r="N621" s="23"/>
      <c r="O621" s="23"/>
    </row>
    <row r="622">
      <c r="B622" s="23"/>
      <c r="C622" s="23"/>
      <c r="E622" s="24"/>
      <c r="G622" s="23"/>
      <c r="H622" s="23"/>
      <c r="I622" s="23"/>
      <c r="J622" s="23"/>
      <c r="K622" s="23"/>
      <c r="L622" s="23"/>
      <c r="M622" s="23"/>
      <c r="N622" s="23"/>
      <c r="O622" s="23"/>
    </row>
    <row r="623">
      <c r="B623" s="23"/>
      <c r="C623" s="23"/>
      <c r="E623" s="24"/>
      <c r="G623" s="23"/>
      <c r="H623" s="23"/>
      <c r="I623" s="23"/>
      <c r="J623" s="23"/>
      <c r="K623" s="23"/>
      <c r="L623" s="23"/>
      <c r="M623" s="23"/>
      <c r="N623" s="23"/>
      <c r="O623" s="23"/>
    </row>
    <row r="624">
      <c r="B624" s="23"/>
      <c r="C624" s="23"/>
      <c r="E624" s="24"/>
      <c r="G624" s="23"/>
      <c r="H624" s="23"/>
      <c r="I624" s="23"/>
      <c r="J624" s="23"/>
      <c r="K624" s="23"/>
      <c r="L624" s="23"/>
      <c r="M624" s="23"/>
      <c r="N624" s="23"/>
      <c r="O624" s="23"/>
    </row>
    <row r="625">
      <c r="B625" s="23"/>
      <c r="C625" s="23"/>
      <c r="E625" s="24"/>
      <c r="G625" s="23"/>
      <c r="H625" s="23"/>
      <c r="I625" s="23"/>
      <c r="J625" s="23"/>
      <c r="K625" s="23"/>
      <c r="L625" s="23"/>
      <c r="M625" s="23"/>
      <c r="N625" s="23"/>
      <c r="O625" s="23"/>
    </row>
    <row r="626">
      <c r="B626" s="23"/>
      <c r="C626" s="23"/>
      <c r="E626" s="24"/>
      <c r="G626" s="23"/>
      <c r="H626" s="23"/>
      <c r="I626" s="23"/>
      <c r="J626" s="23"/>
      <c r="K626" s="23"/>
      <c r="L626" s="23"/>
      <c r="M626" s="23"/>
      <c r="N626" s="23"/>
      <c r="O626" s="23"/>
    </row>
    <row r="627">
      <c r="B627" s="23"/>
      <c r="C627" s="23"/>
      <c r="E627" s="24"/>
      <c r="G627" s="23"/>
      <c r="H627" s="23"/>
      <c r="I627" s="23"/>
      <c r="J627" s="23"/>
      <c r="K627" s="23"/>
      <c r="L627" s="23"/>
      <c r="M627" s="23"/>
      <c r="N627" s="23"/>
      <c r="O627" s="23"/>
    </row>
    <row r="628">
      <c r="B628" s="23"/>
      <c r="C628" s="23"/>
      <c r="E628" s="24"/>
      <c r="G628" s="23"/>
      <c r="H628" s="23"/>
      <c r="I628" s="23"/>
      <c r="J628" s="23"/>
      <c r="K628" s="23"/>
      <c r="L628" s="23"/>
      <c r="M628" s="23"/>
      <c r="N628" s="23"/>
      <c r="O628" s="23"/>
    </row>
    <row r="629">
      <c r="B629" s="23"/>
      <c r="C629" s="23"/>
      <c r="E629" s="24"/>
      <c r="G629" s="23"/>
      <c r="H629" s="23"/>
      <c r="I629" s="23"/>
      <c r="J629" s="23"/>
      <c r="K629" s="23"/>
      <c r="L629" s="23"/>
      <c r="M629" s="23"/>
      <c r="N629" s="23"/>
      <c r="O629" s="23"/>
    </row>
    <row r="630">
      <c r="B630" s="23"/>
      <c r="C630" s="23"/>
      <c r="E630" s="24"/>
      <c r="G630" s="23"/>
      <c r="H630" s="23"/>
      <c r="I630" s="23"/>
      <c r="J630" s="23"/>
      <c r="K630" s="23"/>
      <c r="L630" s="23"/>
      <c r="M630" s="23"/>
      <c r="N630" s="23"/>
      <c r="O630" s="23"/>
    </row>
    <row r="631">
      <c r="B631" s="23"/>
      <c r="C631" s="23"/>
      <c r="E631" s="24"/>
      <c r="G631" s="23"/>
      <c r="H631" s="23"/>
      <c r="I631" s="23"/>
      <c r="J631" s="23"/>
      <c r="K631" s="23"/>
      <c r="L631" s="23"/>
      <c r="M631" s="23"/>
      <c r="N631" s="23"/>
      <c r="O631" s="23"/>
    </row>
    <row r="632">
      <c r="B632" s="23"/>
      <c r="C632" s="23"/>
      <c r="E632" s="24"/>
      <c r="G632" s="23"/>
      <c r="H632" s="23"/>
      <c r="I632" s="23"/>
      <c r="J632" s="23"/>
      <c r="K632" s="23"/>
      <c r="L632" s="23"/>
      <c r="M632" s="23"/>
      <c r="N632" s="23"/>
      <c r="O632" s="23"/>
    </row>
    <row r="633">
      <c r="B633" s="23"/>
      <c r="C633" s="23"/>
      <c r="E633" s="24"/>
      <c r="G633" s="23"/>
      <c r="H633" s="23"/>
      <c r="I633" s="23"/>
      <c r="J633" s="23"/>
      <c r="K633" s="23"/>
      <c r="L633" s="23"/>
      <c r="M633" s="23"/>
      <c r="N633" s="23"/>
      <c r="O633" s="23"/>
    </row>
    <row r="634">
      <c r="B634" s="23"/>
      <c r="C634" s="23"/>
      <c r="E634" s="24"/>
      <c r="G634" s="23"/>
      <c r="H634" s="23"/>
      <c r="I634" s="23"/>
      <c r="J634" s="23"/>
      <c r="K634" s="23"/>
      <c r="L634" s="23"/>
      <c r="M634" s="23"/>
      <c r="N634" s="23"/>
      <c r="O634" s="23"/>
    </row>
    <row r="635">
      <c r="B635" s="23"/>
      <c r="C635" s="23"/>
      <c r="E635" s="24"/>
      <c r="G635" s="23"/>
      <c r="H635" s="23"/>
      <c r="I635" s="23"/>
      <c r="J635" s="23"/>
      <c r="K635" s="23"/>
      <c r="L635" s="23"/>
      <c r="M635" s="23"/>
      <c r="N635" s="23"/>
      <c r="O635" s="23"/>
    </row>
    <row r="636">
      <c r="B636" s="23"/>
      <c r="C636" s="23"/>
      <c r="E636" s="24"/>
      <c r="G636" s="23"/>
      <c r="H636" s="23"/>
      <c r="I636" s="23"/>
      <c r="J636" s="23"/>
      <c r="K636" s="23"/>
      <c r="L636" s="23"/>
      <c r="M636" s="23"/>
      <c r="N636" s="23"/>
      <c r="O636" s="23"/>
    </row>
    <row r="637">
      <c r="B637" s="23"/>
      <c r="C637" s="23"/>
      <c r="E637" s="24"/>
      <c r="G637" s="23"/>
      <c r="H637" s="23"/>
      <c r="I637" s="23"/>
      <c r="J637" s="23"/>
      <c r="K637" s="23"/>
      <c r="L637" s="23"/>
      <c r="M637" s="23"/>
      <c r="N637" s="23"/>
      <c r="O637" s="23"/>
    </row>
    <row r="638">
      <c r="B638" s="23"/>
      <c r="C638" s="23"/>
      <c r="E638" s="24"/>
      <c r="G638" s="23"/>
      <c r="H638" s="23"/>
      <c r="I638" s="23"/>
      <c r="J638" s="23"/>
      <c r="K638" s="23"/>
      <c r="L638" s="23"/>
      <c r="M638" s="23"/>
      <c r="N638" s="23"/>
      <c r="O638" s="23"/>
    </row>
    <row r="639">
      <c r="B639" s="23"/>
      <c r="C639" s="23"/>
      <c r="E639" s="24"/>
      <c r="G639" s="23"/>
      <c r="H639" s="23"/>
      <c r="I639" s="23"/>
      <c r="J639" s="23"/>
      <c r="K639" s="23"/>
      <c r="L639" s="23"/>
      <c r="M639" s="23"/>
      <c r="N639" s="23"/>
      <c r="O639" s="23"/>
    </row>
    <row r="640">
      <c r="B640" s="23"/>
      <c r="C640" s="23"/>
      <c r="E640" s="24"/>
      <c r="G640" s="23"/>
      <c r="H640" s="23"/>
      <c r="I640" s="23"/>
      <c r="J640" s="23"/>
      <c r="K640" s="23"/>
      <c r="L640" s="23"/>
      <c r="M640" s="23"/>
      <c r="N640" s="23"/>
      <c r="O640" s="23"/>
    </row>
    <row r="641">
      <c r="B641" s="23"/>
      <c r="C641" s="23"/>
      <c r="E641" s="24"/>
      <c r="G641" s="23"/>
      <c r="H641" s="23"/>
      <c r="I641" s="23"/>
      <c r="J641" s="23"/>
      <c r="K641" s="23"/>
      <c r="L641" s="23"/>
      <c r="M641" s="23"/>
      <c r="N641" s="23"/>
      <c r="O641" s="23"/>
    </row>
    <row r="642">
      <c r="B642" s="23"/>
      <c r="C642" s="23"/>
      <c r="E642" s="24"/>
      <c r="G642" s="23"/>
      <c r="H642" s="23"/>
      <c r="I642" s="23"/>
      <c r="J642" s="23"/>
      <c r="K642" s="23"/>
      <c r="L642" s="23"/>
      <c r="M642" s="23"/>
      <c r="N642" s="23"/>
      <c r="O642" s="23"/>
    </row>
    <row r="643">
      <c r="B643" s="23"/>
      <c r="C643" s="23"/>
      <c r="E643" s="24"/>
      <c r="G643" s="23"/>
      <c r="H643" s="23"/>
      <c r="I643" s="23"/>
      <c r="J643" s="23"/>
      <c r="K643" s="23"/>
      <c r="L643" s="23"/>
      <c r="M643" s="23"/>
      <c r="N643" s="23"/>
      <c r="O643" s="23"/>
    </row>
    <row r="644">
      <c r="B644" s="23"/>
      <c r="C644" s="23"/>
      <c r="E644" s="24"/>
      <c r="G644" s="23"/>
      <c r="H644" s="23"/>
      <c r="I644" s="23"/>
      <c r="J644" s="23"/>
      <c r="K644" s="23"/>
      <c r="L644" s="23"/>
      <c r="M644" s="23"/>
      <c r="N644" s="23"/>
      <c r="O644" s="23"/>
    </row>
    <row r="645">
      <c r="B645" s="23"/>
      <c r="C645" s="23"/>
      <c r="E645" s="24"/>
      <c r="G645" s="23"/>
      <c r="H645" s="23"/>
      <c r="I645" s="23"/>
      <c r="J645" s="23"/>
      <c r="K645" s="23"/>
      <c r="L645" s="23"/>
      <c r="M645" s="23"/>
      <c r="N645" s="23"/>
      <c r="O645" s="23"/>
    </row>
    <row r="646">
      <c r="B646" s="23"/>
      <c r="C646" s="23"/>
      <c r="E646" s="24"/>
      <c r="G646" s="23"/>
      <c r="H646" s="23"/>
      <c r="I646" s="23"/>
      <c r="J646" s="23"/>
      <c r="K646" s="23"/>
      <c r="L646" s="23"/>
      <c r="M646" s="23"/>
      <c r="N646" s="23"/>
      <c r="O646" s="23"/>
    </row>
    <row r="647">
      <c r="B647" s="23"/>
      <c r="C647" s="23"/>
      <c r="E647" s="24"/>
      <c r="G647" s="23"/>
      <c r="H647" s="23"/>
      <c r="I647" s="23"/>
      <c r="J647" s="23"/>
      <c r="K647" s="23"/>
      <c r="L647" s="23"/>
      <c r="M647" s="23"/>
      <c r="N647" s="23"/>
      <c r="O647" s="23"/>
    </row>
    <row r="648">
      <c r="B648" s="23"/>
      <c r="C648" s="23"/>
      <c r="E648" s="24"/>
      <c r="G648" s="23"/>
      <c r="H648" s="23"/>
      <c r="I648" s="23"/>
      <c r="J648" s="23"/>
      <c r="K648" s="23"/>
      <c r="L648" s="23"/>
      <c r="M648" s="23"/>
      <c r="N648" s="23"/>
      <c r="O648" s="23"/>
    </row>
    <row r="649">
      <c r="B649" s="23"/>
      <c r="C649" s="23"/>
      <c r="E649" s="24"/>
      <c r="G649" s="23"/>
      <c r="H649" s="23"/>
      <c r="I649" s="23"/>
      <c r="J649" s="23"/>
      <c r="K649" s="23"/>
      <c r="L649" s="23"/>
      <c r="M649" s="23"/>
      <c r="N649" s="23"/>
      <c r="O649" s="23"/>
    </row>
    <row r="650">
      <c r="B650" s="23"/>
      <c r="C650" s="23"/>
      <c r="E650" s="24"/>
      <c r="G650" s="23"/>
      <c r="H650" s="23"/>
      <c r="I650" s="23"/>
      <c r="J650" s="23"/>
      <c r="K650" s="23"/>
      <c r="L650" s="23"/>
      <c r="M650" s="23"/>
      <c r="N650" s="23"/>
      <c r="O650" s="23"/>
    </row>
    <row r="651">
      <c r="B651" s="23"/>
      <c r="C651" s="23"/>
      <c r="E651" s="24"/>
      <c r="G651" s="23"/>
      <c r="H651" s="23"/>
      <c r="I651" s="23"/>
      <c r="J651" s="23"/>
      <c r="K651" s="23"/>
      <c r="L651" s="23"/>
      <c r="M651" s="23"/>
      <c r="N651" s="23"/>
      <c r="O651" s="23"/>
    </row>
    <row r="652">
      <c r="B652" s="23"/>
      <c r="C652" s="23"/>
      <c r="E652" s="24"/>
      <c r="G652" s="23"/>
      <c r="H652" s="23"/>
      <c r="I652" s="23"/>
      <c r="J652" s="23"/>
      <c r="K652" s="23"/>
      <c r="L652" s="23"/>
      <c r="M652" s="23"/>
      <c r="N652" s="23"/>
      <c r="O652" s="23"/>
    </row>
    <row r="653">
      <c r="B653" s="23"/>
      <c r="C653" s="23"/>
      <c r="E653" s="24"/>
      <c r="G653" s="23"/>
      <c r="H653" s="23"/>
      <c r="I653" s="23"/>
      <c r="J653" s="23"/>
      <c r="K653" s="23"/>
      <c r="L653" s="23"/>
      <c r="M653" s="23"/>
      <c r="N653" s="23"/>
      <c r="O653" s="23"/>
    </row>
    <row r="654">
      <c r="B654" s="23"/>
      <c r="C654" s="23"/>
      <c r="E654" s="24"/>
      <c r="G654" s="23"/>
      <c r="H654" s="23"/>
      <c r="I654" s="23"/>
      <c r="J654" s="23"/>
      <c r="K654" s="23"/>
      <c r="L654" s="23"/>
      <c r="M654" s="23"/>
      <c r="N654" s="23"/>
      <c r="O654" s="23"/>
    </row>
    <row r="655">
      <c r="B655" s="23"/>
      <c r="C655" s="23"/>
      <c r="E655" s="24"/>
      <c r="G655" s="23"/>
      <c r="H655" s="23"/>
      <c r="I655" s="23"/>
      <c r="J655" s="23"/>
      <c r="K655" s="23"/>
      <c r="L655" s="23"/>
      <c r="M655" s="23"/>
      <c r="N655" s="23"/>
      <c r="O655" s="23"/>
    </row>
    <row r="656">
      <c r="B656" s="23"/>
      <c r="C656" s="23"/>
      <c r="E656" s="24"/>
      <c r="G656" s="23"/>
      <c r="H656" s="23"/>
      <c r="I656" s="23"/>
      <c r="J656" s="23"/>
      <c r="K656" s="23"/>
      <c r="L656" s="23"/>
      <c r="M656" s="23"/>
      <c r="N656" s="23"/>
      <c r="O656" s="23"/>
    </row>
    <row r="657">
      <c r="B657" s="23"/>
      <c r="C657" s="23"/>
      <c r="E657" s="24"/>
      <c r="G657" s="23"/>
      <c r="H657" s="23"/>
      <c r="I657" s="23"/>
      <c r="J657" s="23"/>
      <c r="K657" s="23"/>
      <c r="L657" s="23"/>
      <c r="M657" s="23"/>
      <c r="N657" s="23"/>
      <c r="O657" s="23"/>
    </row>
    <row r="658">
      <c r="B658" s="23"/>
      <c r="C658" s="23"/>
      <c r="E658" s="24"/>
      <c r="G658" s="23"/>
      <c r="H658" s="23"/>
      <c r="I658" s="23"/>
      <c r="J658" s="23"/>
      <c r="K658" s="23"/>
      <c r="L658" s="23"/>
      <c r="M658" s="23"/>
      <c r="N658" s="23"/>
      <c r="O658" s="23"/>
    </row>
    <row r="659">
      <c r="B659" s="23"/>
      <c r="C659" s="23"/>
      <c r="E659" s="24"/>
      <c r="G659" s="23"/>
      <c r="H659" s="23"/>
      <c r="I659" s="23"/>
      <c r="J659" s="23"/>
      <c r="K659" s="23"/>
      <c r="L659" s="23"/>
      <c r="M659" s="23"/>
      <c r="N659" s="23"/>
      <c r="O659" s="23"/>
    </row>
    <row r="660">
      <c r="B660" s="23"/>
      <c r="C660" s="23"/>
      <c r="E660" s="24"/>
      <c r="G660" s="23"/>
      <c r="H660" s="23"/>
      <c r="I660" s="23"/>
      <c r="J660" s="23"/>
      <c r="K660" s="23"/>
      <c r="L660" s="23"/>
      <c r="M660" s="23"/>
      <c r="N660" s="23"/>
      <c r="O660" s="23"/>
    </row>
    <row r="661">
      <c r="B661" s="23"/>
      <c r="C661" s="23"/>
      <c r="E661" s="24"/>
      <c r="G661" s="23"/>
      <c r="H661" s="23"/>
      <c r="I661" s="23"/>
      <c r="J661" s="23"/>
      <c r="K661" s="23"/>
      <c r="L661" s="23"/>
      <c r="M661" s="23"/>
      <c r="N661" s="23"/>
      <c r="O661" s="23"/>
    </row>
    <row r="662">
      <c r="B662" s="23"/>
      <c r="C662" s="23"/>
      <c r="E662" s="24"/>
      <c r="G662" s="23"/>
      <c r="H662" s="23"/>
      <c r="I662" s="23"/>
      <c r="J662" s="23"/>
      <c r="K662" s="23"/>
      <c r="L662" s="23"/>
      <c r="M662" s="23"/>
      <c r="N662" s="23"/>
      <c r="O662" s="23"/>
    </row>
    <row r="663">
      <c r="B663" s="23"/>
      <c r="C663" s="23"/>
      <c r="E663" s="24"/>
      <c r="G663" s="23"/>
      <c r="H663" s="23"/>
      <c r="I663" s="23"/>
      <c r="J663" s="23"/>
      <c r="K663" s="23"/>
      <c r="L663" s="23"/>
      <c r="M663" s="23"/>
      <c r="N663" s="23"/>
      <c r="O663" s="23"/>
    </row>
    <row r="664">
      <c r="B664" s="23"/>
      <c r="C664" s="23"/>
      <c r="E664" s="24"/>
      <c r="G664" s="23"/>
      <c r="H664" s="23"/>
      <c r="I664" s="23"/>
      <c r="J664" s="23"/>
      <c r="K664" s="23"/>
      <c r="L664" s="23"/>
      <c r="M664" s="23"/>
      <c r="N664" s="23"/>
      <c r="O664" s="23"/>
    </row>
    <row r="665">
      <c r="B665" s="23"/>
      <c r="C665" s="23"/>
      <c r="E665" s="24"/>
      <c r="G665" s="23"/>
      <c r="H665" s="23"/>
      <c r="I665" s="23"/>
      <c r="J665" s="23"/>
      <c r="K665" s="23"/>
      <c r="L665" s="23"/>
      <c r="M665" s="23"/>
      <c r="N665" s="23"/>
      <c r="O665" s="23"/>
    </row>
    <row r="666">
      <c r="B666" s="23"/>
      <c r="C666" s="23"/>
      <c r="E666" s="24"/>
      <c r="G666" s="23"/>
      <c r="H666" s="23"/>
      <c r="I666" s="23"/>
      <c r="J666" s="23"/>
      <c r="K666" s="23"/>
      <c r="L666" s="23"/>
      <c r="M666" s="23"/>
      <c r="N666" s="23"/>
      <c r="O666" s="23"/>
    </row>
    <row r="667">
      <c r="B667" s="23"/>
      <c r="C667" s="23"/>
      <c r="E667" s="24"/>
      <c r="G667" s="23"/>
      <c r="H667" s="23"/>
      <c r="I667" s="23"/>
      <c r="J667" s="23"/>
      <c r="K667" s="23"/>
      <c r="L667" s="23"/>
      <c r="M667" s="23"/>
      <c r="N667" s="23"/>
      <c r="O667" s="23"/>
    </row>
    <row r="668">
      <c r="B668" s="23"/>
      <c r="C668" s="23"/>
      <c r="E668" s="24"/>
      <c r="G668" s="23"/>
      <c r="H668" s="23"/>
      <c r="I668" s="23"/>
      <c r="J668" s="23"/>
      <c r="K668" s="23"/>
      <c r="L668" s="23"/>
      <c r="M668" s="23"/>
      <c r="N668" s="23"/>
      <c r="O668" s="23"/>
    </row>
    <row r="669">
      <c r="B669" s="23"/>
      <c r="C669" s="23"/>
      <c r="E669" s="24"/>
      <c r="G669" s="23"/>
      <c r="H669" s="23"/>
      <c r="I669" s="23"/>
      <c r="J669" s="23"/>
      <c r="K669" s="23"/>
      <c r="L669" s="23"/>
      <c r="M669" s="23"/>
      <c r="N669" s="23"/>
      <c r="O669" s="23"/>
    </row>
    <row r="670">
      <c r="B670" s="23"/>
      <c r="C670" s="23"/>
      <c r="E670" s="24"/>
      <c r="G670" s="23"/>
      <c r="H670" s="23"/>
      <c r="I670" s="23"/>
      <c r="J670" s="23"/>
      <c r="K670" s="23"/>
      <c r="L670" s="23"/>
      <c r="M670" s="23"/>
      <c r="N670" s="23"/>
      <c r="O670" s="23"/>
    </row>
    <row r="671">
      <c r="B671" s="23"/>
      <c r="C671" s="23"/>
      <c r="E671" s="24"/>
      <c r="G671" s="23"/>
      <c r="H671" s="23"/>
      <c r="I671" s="23"/>
      <c r="J671" s="23"/>
      <c r="K671" s="23"/>
      <c r="L671" s="23"/>
      <c r="M671" s="23"/>
      <c r="N671" s="23"/>
      <c r="O671" s="23"/>
    </row>
    <row r="672">
      <c r="B672" s="23"/>
      <c r="C672" s="23"/>
      <c r="E672" s="24"/>
      <c r="G672" s="23"/>
      <c r="H672" s="23"/>
      <c r="I672" s="23"/>
      <c r="J672" s="23"/>
      <c r="K672" s="23"/>
      <c r="L672" s="23"/>
      <c r="M672" s="23"/>
      <c r="N672" s="23"/>
      <c r="O672" s="23"/>
    </row>
    <row r="673">
      <c r="B673" s="23"/>
      <c r="C673" s="23"/>
      <c r="E673" s="24"/>
      <c r="G673" s="23"/>
      <c r="H673" s="23"/>
      <c r="I673" s="23"/>
      <c r="J673" s="23"/>
      <c r="K673" s="23"/>
      <c r="L673" s="23"/>
      <c r="M673" s="23"/>
      <c r="N673" s="23"/>
      <c r="O673" s="23"/>
    </row>
    <row r="674">
      <c r="B674" s="23"/>
      <c r="C674" s="23"/>
      <c r="E674" s="24"/>
      <c r="G674" s="23"/>
      <c r="H674" s="23"/>
      <c r="I674" s="23"/>
      <c r="J674" s="23"/>
      <c r="K674" s="23"/>
      <c r="L674" s="23"/>
      <c r="M674" s="23"/>
      <c r="N674" s="23"/>
      <c r="O674" s="23"/>
    </row>
    <row r="675">
      <c r="B675" s="23"/>
      <c r="C675" s="23"/>
      <c r="E675" s="24"/>
      <c r="G675" s="23"/>
      <c r="H675" s="23"/>
      <c r="I675" s="23"/>
      <c r="J675" s="23"/>
      <c r="K675" s="23"/>
      <c r="L675" s="23"/>
      <c r="M675" s="23"/>
      <c r="N675" s="23"/>
      <c r="O675" s="23"/>
    </row>
    <row r="676">
      <c r="B676" s="23"/>
      <c r="C676" s="23"/>
      <c r="E676" s="24"/>
      <c r="G676" s="23"/>
      <c r="H676" s="23"/>
      <c r="I676" s="23"/>
      <c r="J676" s="23"/>
      <c r="K676" s="23"/>
      <c r="L676" s="23"/>
      <c r="M676" s="23"/>
      <c r="N676" s="23"/>
      <c r="O676" s="23"/>
    </row>
    <row r="677">
      <c r="B677" s="23"/>
      <c r="C677" s="23"/>
      <c r="E677" s="24"/>
      <c r="G677" s="23"/>
      <c r="H677" s="23"/>
      <c r="I677" s="23"/>
      <c r="J677" s="23"/>
      <c r="K677" s="23"/>
      <c r="L677" s="23"/>
      <c r="M677" s="23"/>
      <c r="N677" s="23"/>
      <c r="O677" s="23"/>
    </row>
    <row r="678">
      <c r="B678" s="23"/>
      <c r="C678" s="23"/>
      <c r="E678" s="24"/>
      <c r="G678" s="23"/>
      <c r="H678" s="23"/>
      <c r="I678" s="23"/>
      <c r="J678" s="23"/>
      <c r="K678" s="23"/>
      <c r="L678" s="23"/>
      <c r="M678" s="23"/>
      <c r="N678" s="23"/>
      <c r="O678" s="23"/>
    </row>
    <row r="679">
      <c r="B679" s="23"/>
      <c r="C679" s="23"/>
      <c r="E679" s="24"/>
      <c r="G679" s="23"/>
      <c r="H679" s="23"/>
      <c r="I679" s="23"/>
      <c r="J679" s="23"/>
      <c r="K679" s="23"/>
      <c r="L679" s="23"/>
      <c r="M679" s="23"/>
      <c r="N679" s="23"/>
      <c r="O679" s="23"/>
    </row>
    <row r="680">
      <c r="B680" s="23"/>
      <c r="C680" s="23"/>
      <c r="E680" s="24"/>
      <c r="G680" s="23"/>
      <c r="H680" s="23"/>
      <c r="I680" s="23"/>
      <c r="J680" s="23"/>
      <c r="K680" s="23"/>
      <c r="L680" s="23"/>
      <c r="M680" s="23"/>
      <c r="N680" s="23"/>
      <c r="O680" s="23"/>
    </row>
    <row r="681">
      <c r="B681" s="23"/>
      <c r="C681" s="23"/>
      <c r="E681" s="24"/>
      <c r="G681" s="23"/>
      <c r="H681" s="23"/>
      <c r="I681" s="23"/>
      <c r="J681" s="23"/>
      <c r="K681" s="23"/>
      <c r="L681" s="23"/>
      <c r="M681" s="23"/>
      <c r="N681" s="23"/>
      <c r="O681" s="23"/>
    </row>
    <row r="682">
      <c r="B682" s="23"/>
      <c r="C682" s="23"/>
      <c r="E682" s="24"/>
      <c r="G682" s="23"/>
      <c r="H682" s="23"/>
      <c r="I682" s="23"/>
      <c r="J682" s="23"/>
      <c r="K682" s="23"/>
      <c r="L682" s="23"/>
      <c r="M682" s="23"/>
      <c r="N682" s="23"/>
      <c r="O682" s="23"/>
    </row>
    <row r="683">
      <c r="B683" s="23"/>
      <c r="C683" s="23"/>
      <c r="E683" s="24"/>
      <c r="G683" s="23"/>
      <c r="H683" s="23"/>
      <c r="I683" s="23"/>
      <c r="J683" s="23"/>
      <c r="K683" s="23"/>
      <c r="L683" s="23"/>
      <c r="M683" s="23"/>
      <c r="N683" s="23"/>
      <c r="O683" s="23"/>
    </row>
    <row r="684">
      <c r="B684" s="23"/>
      <c r="C684" s="23"/>
      <c r="E684" s="24"/>
      <c r="G684" s="23"/>
      <c r="H684" s="23"/>
      <c r="I684" s="23"/>
      <c r="J684" s="23"/>
      <c r="K684" s="23"/>
      <c r="L684" s="23"/>
      <c r="M684" s="23"/>
      <c r="N684" s="23"/>
      <c r="O684" s="23"/>
    </row>
    <row r="685">
      <c r="B685" s="23"/>
      <c r="C685" s="23"/>
      <c r="E685" s="24"/>
      <c r="G685" s="23"/>
      <c r="H685" s="23"/>
      <c r="I685" s="23"/>
      <c r="J685" s="23"/>
      <c r="K685" s="23"/>
      <c r="L685" s="23"/>
      <c r="M685" s="23"/>
      <c r="N685" s="23"/>
      <c r="O685" s="23"/>
    </row>
    <row r="686">
      <c r="B686" s="23"/>
      <c r="C686" s="23"/>
      <c r="E686" s="24"/>
      <c r="G686" s="23"/>
      <c r="H686" s="23"/>
      <c r="I686" s="23"/>
      <c r="J686" s="23"/>
      <c r="K686" s="23"/>
      <c r="L686" s="23"/>
      <c r="M686" s="23"/>
      <c r="N686" s="23"/>
      <c r="O686" s="23"/>
    </row>
    <row r="687">
      <c r="B687" s="23"/>
      <c r="C687" s="23"/>
      <c r="E687" s="24"/>
      <c r="G687" s="23"/>
      <c r="H687" s="23"/>
      <c r="I687" s="23"/>
      <c r="J687" s="23"/>
      <c r="K687" s="23"/>
      <c r="L687" s="23"/>
      <c r="M687" s="23"/>
      <c r="N687" s="23"/>
      <c r="O687" s="23"/>
    </row>
    <row r="688">
      <c r="B688" s="23"/>
      <c r="C688" s="23"/>
      <c r="E688" s="24"/>
      <c r="G688" s="23"/>
      <c r="H688" s="23"/>
      <c r="I688" s="23"/>
      <c r="J688" s="23"/>
      <c r="K688" s="23"/>
      <c r="L688" s="23"/>
      <c r="M688" s="23"/>
      <c r="N688" s="23"/>
      <c r="O688" s="23"/>
    </row>
    <row r="689">
      <c r="B689" s="23"/>
      <c r="C689" s="23"/>
      <c r="E689" s="24"/>
      <c r="G689" s="23"/>
      <c r="H689" s="23"/>
      <c r="I689" s="23"/>
      <c r="J689" s="23"/>
      <c r="K689" s="23"/>
      <c r="L689" s="23"/>
      <c r="M689" s="23"/>
      <c r="N689" s="23"/>
      <c r="O689" s="23"/>
    </row>
    <row r="690">
      <c r="B690" s="23"/>
      <c r="C690" s="23"/>
      <c r="E690" s="24"/>
      <c r="G690" s="23"/>
      <c r="H690" s="23"/>
      <c r="I690" s="23"/>
      <c r="J690" s="23"/>
      <c r="K690" s="23"/>
      <c r="L690" s="23"/>
      <c r="M690" s="23"/>
      <c r="N690" s="23"/>
      <c r="O690" s="23"/>
    </row>
    <row r="691">
      <c r="B691" s="23"/>
      <c r="C691" s="23"/>
      <c r="E691" s="24"/>
      <c r="G691" s="23"/>
      <c r="H691" s="23"/>
      <c r="I691" s="23"/>
      <c r="J691" s="23"/>
      <c r="K691" s="23"/>
      <c r="L691" s="23"/>
      <c r="M691" s="23"/>
      <c r="N691" s="23"/>
      <c r="O691" s="23"/>
    </row>
    <row r="692">
      <c r="B692" s="23"/>
      <c r="C692" s="23"/>
      <c r="E692" s="24"/>
      <c r="G692" s="23"/>
      <c r="H692" s="23"/>
      <c r="I692" s="23"/>
      <c r="J692" s="23"/>
      <c r="K692" s="23"/>
      <c r="L692" s="23"/>
      <c r="M692" s="23"/>
      <c r="N692" s="23"/>
      <c r="O692" s="23"/>
    </row>
    <row r="693">
      <c r="B693" s="23"/>
      <c r="C693" s="23"/>
      <c r="E693" s="24"/>
      <c r="G693" s="23"/>
      <c r="H693" s="23"/>
      <c r="I693" s="23"/>
      <c r="J693" s="23"/>
      <c r="K693" s="23"/>
      <c r="L693" s="23"/>
      <c r="M693" s="23"/>
      <c r="N693" s="23"/>
      <c r="O693" s="23"/>
    </row>
    <row r="694">
      <c r="B694" s="23"/>
      <c r="C694" s="23"/>
      <c r="E694" s="24"/>
      <c r="G694" s="23"/>
      <c r="H694" s="23"/>
      <c r="I694" s="23"/>
      <c r="J694" s="23"/>
      <c r="K694" s="23"/>
      <c r="L694" s="23"/>
      <c r="M694" s="23"/>
      <c r="N694" s="23"/>
      <c r="O694" s="23"/>
    </row>
    <row r="695">
      <c r="B695" s="23"/>
      <c r="C695" s="23"/>
      <c r="E695" s="24"/>
      <c r="G695" s="23"/>
      <c r="H695" s="23"/>
      <c r="I695" s="23"/>
      <c r="J695" s="23"/>
      <c r="K695" s="23"/>
      <c r="L695" s="23"/>
      <c r="M695" s="23"/>
      <c r="N695" s="23"/>
      <c r="O695" s="23"/>
    </row>
    <row r="696">
      <c r="B696" s="23"/>
      <c r="C696" s="23"/>
      <c r="E696" s="24"/>
      <c r="G696" s="23"/>
      <c r="H696" s="23"/>
      <c r="I696" s="23"/>
      <c r="J696" s="23"/>
      <c r="K696" s="23"/>
      <c r="L696" s="23"/>
      <c r="M696" s="23"/>
      <c r="N696" s="23"/>
      <c r="O696" s="23"/>
    </row>
    <row r="697">
      <c r="B697" s="23"/>
      <c r="C697" s="23"/>
      <c r="E697" s="24"/>
      <c r="G697" s="23"/>
      <c r="H697" s="23"/>
      <c r="I697" s="23"/>
      <c r="J697" s="23"/>
      <c r="K697" s="23"/>
      <c r="L697" s="23"/>
      <c r="M697" s="23"/>
      <c r="N697" s="23"/>
      <c r="O697" s="23"/>
    </row>
    <row r="698">
      <c r="B698" s="23"/>
      <c r="C698" s="23"/>
      <c r="E698" s="24"/>
      <c r="G698" s="23"/>
      <c r="H698" s="23"/>
      <c r="I698" s="23"/>
      <c r="J698" s="23"/>
      <c r="K698" s="23"/>
      <c r="L698" s="23"/>
      <c r="M698" s="23"/>
      <c r="N698" s="23"/>
      <c r="O698" s="23"/>
    </row>
    <row r="699">
      <c r="B699" s="23"/>
      <c r="C699" s="23"/>
      <c r="E699" s="24"/>
      <c r="G699" s="23"/>
      <c r="H699" s="23"/>
      <c r="I699" s="23"/>
      <c r="J699" s="23"/>
      <c r="K699" s="23"/>
      <c r="L699" s="23"/>
      <c r="M699" s="23"/>
      <c r="N699" s="23"/>
      <c r="O699" s="23"/>
    </row>
    <row r="700">
      <c r="B700" s="23"/>
      <c r="C700" s="23"/>
      <c r="E700" s="24"/>
      <c r="G700" s="23"/>
      <c r="H700" s="23"/>
      <c r="I700" s="23"/>
      <c r="J700" s="23"/>
      <c r="K700" s="23"/>
      <c r="L700" s="23"/>
      <c r="M700" s="23"/>
      <c r="N700" s="23"/>
      <c r="O700" s="23"/>
    </row>
    <row r="701">
      <c r="B701" s="23"/>
      <c r="C701" s="23"/>
      <c r="E701" s="24"/>
      <c r="G701" s="23"/>
      <c r="H701" s="23"/>
      <c r="I701" s="23"/>
      <c r="J701" s="23"/>
      <c r="K701" s="23"/>
      <c r="L701" s="23"/>
      <c r="M701" s="23"/>
      <c r="N701" s="23"/>
      <c r="O701" s="23"/>
    </row>
    <row r="702">
      <c r="B702" s="23"/>
      <c r="C702" s="23"/>
      <c r="E702" s="24"/>
      <c r="G702" s="23"/>
      <c r="H702" s="23"/>
      <c r="I702" s="23"/>
      <c r="J702" s="23"/>
      <c r="K702" s="23"/>
      <c r="L702" s="23"/>
      <c r="M702" s="23"/>
      <c r="N702" s="23"/>
      <c r="O702" s="23"/>
    </row>
    <row r="703">
      <c r="B703" s="23"/>
      <c r="C703" s="23"/>
      <c r="E703" s="24"/>
      <c r="G703" s="23"/>
      <c r="H703" s="23"/>
      <c r="I703" s="23"/>
      <c r="J703" s="23"/>
      <c r="K703" s="23"/>
      <c r="L703" s="23"/>
      <c r="M703" s="23"/>
      <c r="N703" s="23"/>
      <c r="O703" s="23"/>
    </row>
    <row r="704">
      <c r="B704" s="23"/>
      <c r="C704" s="23"/>
      <c r="E704" s="24"/>
      <c r="G704" s="23"/>
      <c r="H704" s="23"/>
      <c r="I704" s="23"/>
      <c r="J704" s="23"/>
      <c r="K704" s="23"/>
      <c r="L704" s="23"/>
      <c r="M704" s="23"/>
      <c r="N704" s="23"/>
      <c r="O704" s="23"/>
    </row>
    <row r="705">
      <c r="B705" s="23"/>
      <c r="C705" s="23"/>
      <c r="E705" s="24"/>
      <c r="G705" s="23"/>
      <c r="H705" s="23"/>
      <c r="I705" s="23"/>
      <c r="J705" s="23"/>
      <c r="K705" s="23"/>
      <c r="L705" s="23"/>
      <c r="M705" s="23"/>
      <c r="N705" s="23"/>
      <c r="O705" s="23"/>
    </row>
    <row r="706">
      <c r="B706" s="23"/>
      <c r="C706" s="23"/>
      <c r="E706" s="24"/>
      <c r="G706" s="23"/>
      <c r="H706" s="23"/>
      <c r="I706" s="23"/>
      <c r="J706" s="23"/>
      <c r="K706" s="23"/>
      <c r="L706" s="23"/>
      <c r="M706" s="23"/>
      <c r="N706" s="23"/>
      <c r="O706" s="23"/>
    </row>
    <row r="707">
      <c r="B707" s="23"/>
      <c r="C707" s="23"/>
      <c r="E707" s="24"/>
      <c r="G707" s="23"/>
      <c r="H707" s="23"/>
      <c r="I707" s="23"/>
      <c r="J707" s="23"/>
      <c r="K707" s="23"/>
      <c r="L707" s="23"/>
      <c r="M707" s="23"/>
      <c r="N707" s="23"/>
      <c r="O707" s="23"/>
    </row>
    <row r="708">
      <c r="B708" s="23"/>
      <c r="C708" s="23"/>
      <c r="E708" s="24"/>
      <c r="G708" s="23"/>
      <c r="H708" s="23"/>
      <c r="I708" s="23"/>
      <c r="J708" s="23"/>
      <c r="K708" s="23"/>
      <c r="L708" s="23"/>
      <c r="M708" s="23"/>
      <c r="N708" s="23"/>
      <c r="O708" s="23"/>
    </row>
    <row r="709">
      <c r="B709" s="23"/>
      <c r="C709" s="23"/>
      <c r="E709" s="24"/>
      <c r="G709" s="23"/>
      <c r="H709" s="23"/>
      <c r="I709" s="23"/>
      <c r="J709" s="23"/>
      <c r="K709" s="23"/>
      <c r="L709" s="23"/>
      <c r="M709" s="23"/>
      <c r="N709" s="23"/>
      <c r="O709" s="23"/>
    </row>
    <row r="710">
      <c r="B710" s="23"/>
      <c r="C710" s="23"/>
      <c r="E710" s="24"/>
      <c r="G710" s="23"/>
      <c r="H710" s="23"/>
      <c r="I710" s="23"/>
      <c r="J710" s="23"/>
      <c r="K710" s="23"/>
      <c r="L710" s="23"/>
      <c r="M710" s="23"/>
      <c r="N710" s="23"/>
      <c r="O710" s="23"/>
    </row>
    <row r="711">
      <c r="B711" s="23"/>
      <c r="C711" s="23"/>
      <c r="E711" s="24"/>
      <c r="G711" s="23"/>
      <c r="H711" s="23"/>
      <c r="I711" s="23"/>
      <c r="J711" s="23"/>
      <c r="K711" s="23"/>
      <c r="L711" s="23"/>
      <c r="M711" s="23"/>
      <c r="N711" s="23"/>
      <c r="O711" s="23"/>
    </row>
    <row r="712">
      <c r="B712" s="23"/>
      <c r="C712" s="23"/>
      <c r="E712" s="24"/>
      <c r="G712" s="23"/>
      <c r="H712" s="23"/>
      <c r="I712" s="23"/>
      <c r="J712" s="23"/>
      <c r="K712" s="23"/>
      <c r="L712" s="23"/>
      <c r="M712" s="23"/>
      <c r="N712" s="23"/>
      <c r="O712" s="23"/>
    </row>
    <row r="713">
      <c r="B713" s="23"/>
      <c r="C713" s="23"/>
      <c r="E713" s="24"/>
      <c r="G713" s="23"/>
      <c r="H713" s="23"/>
      <c r="I713" s="23"/>
      <c r="J713" s="23"/>
      <c r="K713" s="23"/>
      <c r="L713" s="23"/>
      <c r="M713" s="23"/>
      <c r="N713" s="23"/>
      <c r="O713" s="23"/>
    </row>
    <row r="714">
      <c r="B714" s="23"/>
      <c r="C714" s="23"/>
      <c r="E714" s="24"/>
      <c r="G714" s="23"/>
      <c r="H714" s="23"/>
      <c r="I714" s="23"/>
      <c r="J714" s="23"/>
      <c r="K714" s="23"/>
      <c r="L714" s="23"/>
      <c r="M714" s="23"/>
      <c r="N714" s="23"/>
      <c r="O714" s="23"/>
    </row>
    <row r="715">
      <c r="B715" s="23"/>
      <c r="C715" s="23"/>
      <c r="E715" s="24"/>
      <c r="G715" s="23"/>
      <c r="H715" s="23"/>
      <c r="I715" s="23"/>
      <c r="J715" s="23"/>
      <c r="K715" s="23"/>
      <c r="L715" s="23"/>
      <c r="M715" s="23"/>
      <c r="N715" s="23"/>
      <c r="O715" s="23"/>
    </row>
    <row r="716">
      <c r="B716" s="23"/>
      <c r="C716" s="23"/>
      <c r="E716" s="24"/>
      <c r="G716" s="23"/>
      <c r="H716" s="23"/>
      <c r="I716" s="23"/>
      <c r="J716" s="23"/>
      <c r="K716" s="23"/>
      <c r="L716" s="23"/>
      <c r="M716" s="23"/>
      <c r="N716" s="23"/>
      <c r="O716" s="23"/>
    </row>
    <row r="717">
      <c r="B717" s="23"/>
      <c r="C717" s="23"/>
      <c r="E717" s="24"/>
      <c r="G717" s="23"/>
      <c r="H717" s="23"/>
      <c r="I717" s="23"/>
      <c r="J717" s="23"/>
      <c r="K717" s="23"/>
      <c r="L717" s="23"/>
      <c r="M717" s="23"/>
      <c r="N717" s="23"/>
      <c r="O717" s="23"/>
    </row>
    <row r="718">
      <c r="B718" s="23"/>
      <c r="C718" s="23"/>
      <c r="E718" s="24"/>
      <c r="G718" s="23"/>
      <c r="H718" s="23"/>
      <c r="I718" s="23"/>
      <c r="J718" s="23"/>
      <c r="K718" s="23"/>
      <c r="L718" s="23"/>
      <c r="M718" s="23"/>
      <c r="N718" s="23"/>
      <c r="O718" s="23"/>
    </row>
    <row r="719">
      <c r="B719" s="23"/>
      <c r="C719" s="23"/>
      <c r="E719" s="24"/>
      <c r="G719" s="23"/>
      <c r="H719" s="23"/>
      <c r="I719" s="23"/>
      <c r="J719" s="23"/>
      <c r="K719" s="23"/>
      <c r="L719" s="23"/>
      <c r="M719" s="23"/>
      <c r="N719" s="23"/>
      <c r="O719" s="23"/>
    </row>
    <row r="720">
      <c r="B720" s="23"/>
      <c r="C720" s="23"/>
      <c r="E720" s="24"/>
      <c r="G720" s="23"/>
      <c r="H720" s="23"/>
      <c r="I720" s="23"/>
      <c r="J720" s="23"/>
      <c r="K720" s="23"/>
      <c r="L720" s="23"/>
      <c r="M720" s="23"/>
      <c r="N720" s="23"/>
      <c r="O720" s="23"/>
    </row>
    <row r="721">
      <c r="B721" s="23"/>
      <c r="C721" s="23"/>
      <c r="E721" s="24"/>
      <c r="G721" s="23"/>
      <c r="H721" s="23"/>
      <c r="I721" s="23"/>
      <c r="J721" s="23"/>
      <c r="K721" s="23"/>
      <c r="L721" s="23"/>
      <c r="M721" s="23"/>
      <c r="N721" s="23"/>
      <c r="O721" s="23"/>
    </row>
    <row r="722">
      <c r="B722" s="23"/>
      <c r="C722" s="23"/>
      <c r="E722" s="24"/>
      <c r="G722" s="23"/>
      <c r="H722" s="23"/>
      <c r="I722" s="23"/>
      <c r="J722" s="23"/>
      <c r="K722" s="23"/>
      <c r="L722" s="23"/>
      <c r="M722" s="23"/>
      <c r="N722" s="23"/>
      <c r="O722" s="23"/>
    </row>
    <row r="723">
      <c r="B723" s="23"/>
      <c r="C723" s="23"/>
      <c r="E723" s="24"/>
      <c r="G723" s="23"/>
      <c r="H723" s="23"/>
      <c r="I723" s="23"/>
      <c r="J723" s="23"/>
      <c r="K723" s="23"/>
      <c r="L723" s="23"/>
      <c r="M723" s="23"/>
      <c r="N723" s="23"/>
      <c r="O723" s="23"/>
    </row>
    <row r="724">
      <c r="B724" s="23"/>
      <c r="C724" s="23"/>
      <c r="E724" s="24"/>
      <c r="G724" s="23"/>
      <c r="H724" s="23"/>
      <c r="I724" s="23"/>
      <c r="J724" s="23"/>
      <c r="K724" s="23"/>
      <c r="L724" s="23"/>
      <c r="M724" s="23"/>
      <c r="N724" s="23"/>
      <c r="O724" s="23"/>
    </row>
    <row r="725">
      <c r="B725" s="23"/>
      <c r="C725" s="23"/>
      <c r="E725" s="24"/>
      <c r="G725" s="23"/>
      <c r="H725" s="23"/>
      <c r="I725" s="23"/>
      <c r="J725" s="23"/>
      <c r="K725" s="23"/>
      <c r="L725" s="23"/>
      <c r="M725" s="23"/>
      <c r="N725" s="23"/>
      <c r="O725" s="23"/>
    </row>
    <row r="726">
      <c r="B726" s="23"/>
      <c r="C726" s="23"/>
      <c r="E726" s="24"/>
      <c r="G726" s="23"/>
      <c r="H726" s="23"/>
      <c r="I726" s="23"/>
      <c r="J726" s="23"/>
      <c r="K726" s="23"/>
      <c r="L726" s="23"/>
      <c r="M726" s="23"/>
      <c r="N726" s="23"/>
      <c r="O726" s="23"/>
    </row>
    <row r="727">
      <c r="B727" s="23"/>
      <c r="C727" s="23"/>
      <c r="E727" s="24"/>
      <c r="G727" s="23"/>
      <c r="H727" s="23"/>
      <c r="I727" s="23"/>
      <c r="J727" s="23"/>
      <c r="K727" s="23"/>
      <c r="L727" s="23"/>
      <c r="M727" s="23"/>
      <c r="N727" s="23"/>
      <c r="O727" s="23"/>
    </row>
    <row r="728">
      <c r="B728" s="23"/>
      <c r="C728" s="23"/>
      <c r="E728" s="24"/>
      <c r="G728" s="23"/>
      <c r="H728" s="23"/>
      <c r="I728" s="23"/>
      <c r="J728" s="23"/>
      <c r="K728" s="23"/>
      <c r="L728" s="23"/>
      <c r="M728" s="23"/>
      <c r="N728" s="23"/>
      <c r="O728" s="23"/>
    </row>
    <row r="729">
      <c r="B729" s="23"/>
      <c r="C729" s="23"/>
      <c r="E729" s="24"/>
      <c r="G729" s="23"/>
      <c r="H729" s="23"/>
      <c r="I729" s="23"/>
      <c r="J729" s="23"/>
      <c r="K729" s="23"/>
      <c r="L729" s="23"/>
      <c r="M729" s="23"/>
      <c r="N729" s="23"/>
      <c r="O729" s="23"/>
    </row>
    <row r="730">
      <c r="B730" s="23"/>
      <c r="C730" s="23"/>
      <c r="E730" s="24"/>
      <c r="G730" s="23"/>
      <c r="H730" s="23"/>
      <c r="I730" s="23"/>
      <c r="J730" s="23"/>
      <c r="K730" s="23"/>
      <c r="L730" s="23"/>
      <c r="M730" s="23"/>
      <c r="N730" s="23"/>
      <c r="O730" s="23"/>
    </row>
    <row r="731">
      <c r="B731" s="23"/>
      <c r="C731" s="23"/>
      <c r="E731" s="24"/>
      <c r="G731" s="23"/>
      <c r="H731" s="23"/>
      <c r="I731" s="23"/>
      <c r="J731" s="23"/>
      <c r="K731" s="23"/>
      <c r="L731" s="23"/>
      <c r="M731" s="23"/>
      <c r="N731" s="23"/>
      <c r="O731" s="23"/>
    </row>
    <row r="732">
      <c r="B732" s="23"/>
      <c r="C732" s="23"/>
      <c r="E732" s="24"/>
      <c r="G732" s="23"/>
      <c r="H732" s="23"/>
      <c r="I732" s="23"/>
      <c r="J732" s="23"/>
      <c r="K732" s="23"/>
      <c r="L732" s="23"/>
      <c r="M732" s="23"/>
      <c r="N732" s="23"/>
      <c r="O732" s="23"/>
    </row>
    <row r="733">
      <c r="B733" s="23"/>
      <c r="C733" s="23"/>
      <c r="E733" s="24"/>
      <c r="G733" s="23"/>
      <c r="H733" s="23"/>
      <c r="I733" s="23"/>
      <c r="J733" s="23"/>
      <c r="K733" s="23"/>
      <c r="L733" s="23"/>
      <c r="M733" s="23"/>
      <c r="N733" s="23"/>
      <c r="O733" s="23"/>
    </row>
    <row r="734">
      <c r="B734" s="23"/>
      <c r="C734" s="23"/>
      <c r="E734" s="24"/>
      <c r="G734" s="23"/>
      <c r="H734" s="23"/>
      <c r="I734" s="23"/>
      <c r="J734" s="23"/>
      <c r="K734" s="23"/>
      <c r="L734" s="23"/>
      <c r="M734" s="23"/>
      <c r="N734" s="23"/>
      <c r="O734" s="23"/>
    </row>
    <row r="735">
      <c r="B735" s="23"/>
      <c r="C735" s="23"/>
      <c r="E735" s="24"/>
      <c r="G735" s="23"/>
      <c r="H735" s="23"/>
      <c r="I735" s="23"/>
      <c r="J735" s="23"/>
      <c r="K735" s="23"/>
      <c r="L735" s="23"/>
      <c r="M735" s="23"/>
      <c r="N735" s="23"/>
      <c r="O735" s="23"/>
    </row>
    <row r="736">
      <c r="B736" s="23"/>
      <c r="C736" s="23"/>
      <c r="E736" s="24"/>
      <c r="G736" s="23"/>
      <c r="H736" s="23"/>
      <c r="I736" s="23"/>
      <c r="J736" s="23"/>
      <c r="K736" s="23"/>
      <c r="L736" s="23"/>
      <c r="M736" s="23"/>
      <c r="N736" s="23"/>
      <c r="O736" s="23"/>
    </row>
    <row r="737">
      <c r="B737" s="23"/>
      <c r="C737" s="23"/>
      <c r="E737" s="24"/>
      <c r="G737" s="23"/>
      <c r="H737" s="23"/>
      <c r="I737" s="23"/>
      <c r="J737" s="23"/>
      <c r="K737" s="23"/>
      <c r="L737" s="23"/>
      <c r="M737" s="23"/>
      <c r="N737" s="23"/>
      <c r="O737" s="23"/>
    </row>
    <row r="738">
      <c r="B738" s="23"/>
      <c r="C738" s="23"/>
      <c r="E738" s="24"/>
      <c r="G738" s="23"/>
      <c r="H738" s="23"/>
      <c r="I738" s="23"/>
      <c r="J738" s="23"/>
      <c r="K738" s="23"/>
      <c r="L738" s="23"/>
      <c r="M738" s="23"/>
      <c r="N738" s="23"/>
      <c r="O738" s="23"/>
    </row>
    <row r="739">
      <c r="B739" s="23"/>
      <c r="C739" s="23"/>
      <c r="E739" s="24"/>
      <c r="G739" s="23"/>
      <c r="H739" s="23"/>
      <c r="I739" s="23"/>
      <c r="J739" s="23"/>
      <c r="K739" s="23"/>
      <c r="L739" s="23"/>
      <c r="M739" s="23"/>
      <c r="N739" s="23"/>
      <c r="O739" s="23"/>
    </row>
    <row r="740">
      <c r="B740" s="23"/>
      <c r="C740" s="23"/>
      <c r="E740" s="24"/>
      <c r="G740" s="23"/>
      <c r="H740" s="23"/>
      <c r="I740" s="23"/>
      <c r="J740" s="23"/>
      <c r="K740" s="23"/>
      <c r="L740" s="23"/>
      <c r="M740" s="23"/>
      <c r="N740" s="23"/>
      <c r="O740" s="23"/>
    </row>
    <row r="741">
      <c r="B741" s="23"/>
      <c r="C741" s="23"/>
      <c r="E741" s="24"/>
      <c r="G741" s="23"/>
      <c r="H741" s="23"/>
      <c r="I741" s="23"/>
      <c r="J741" s="23"/>
      <c r="K741" s="23"/>
      <c r="L741" s="23"/>
      <c r="M741" s="23"/>
      <c r="N741" s="23"/>
      <c r="O741" s="23"/>
    </row>
    <row r="742">
      <c r="B742" s="23"/>
      <c r="C742" s="23"/>
      <c r="E742" s="24"/>
      <c r="G742" s="23"/>
      <c r="H742" s="23"/>
      <c r="I742" s="23"/>
      <c r="J742" s="23"/>
      <c r="K742" s="23"/>
      <c r="L742" s="23"/>
      <c r="M742" s="23"/>
      <c r="N742" s="23"/>
      <c r="O742" s="23"/>
    </row>
    <row r="743">
      <c r="B743" s="23"/>
      <c r="C743" s="23"/>
      <c r="E743" s="24"/>
      <c r="G743" s="23"/>
      <c r="H743" s="23"/>
      <c r="I743" s="23"/>
      <c r="J743" s="23"/>
      <c r="K743" s="23"/>
      <c r="L743" s="23"/>
      <c r="M743" s="23"/>
      <c r="N743" s="23"/>
      <c r="O743" s="23"/>
    </row>
    <row r="744">
      <c r="B744" s="23"/>
      <c r="C744" s="23"/>
      <c r="E744" s="24"/>
      <c r="G744" s="23"/>
      <c r="H744" s="23"/>
      <c r="I744" s="23"/>
      <c r="J744" s="23"/>
      <c r="K744" s="23"/>
      <c r="L744" s="23"/>
      <c r="M744" s="23"/>
      <c r="N744" s="23"/>
      <c r="O744" s="23"/>
    </row>
    <row r="745">
      <c r="B745" s="23"/>
      <c r="C745" s="23"/>
      <c r="E745" s="24"/>
      <c r="G745" s="23"/>
      <c r="H745" s="23"/>
      <c r="I745" s="23"/>
      <c r="J745" s="23"/>
      <c r="K745" s="23"/>
      <c r="L745" s="23"/>
      <c r="M745" s="23"/>
      <c r="N745" s="23"/>
      <c r="O745" s="23"/>
    </row>
    <row r="746">
      <c r="B746" s="23"/>
      <c r="C746" s="23"/>
      <c r="E746" s="24"/>
      <c r="G746" s="23"/>
      <c r="H746" s="23"/>
      <c r="I746" s="23"/>
      <c r="J746" s="23"/>
      <c r="K746" s="23"/>
      <c r="L746" s="23"/>
      <c r="M746" s="23"/>
      <c r="N746" s="23"/>
      <c r="O746" s="23"/>
    </row>
    <row r="747">
      <c r="B747" s="23"/>
      <c r="C747" s="23"/>
      <c r="E747" s="24"/>
      <c r="G747" s="23"/>
      <c r="H747" s="23"/>
      <c r="I747" s="23"/>
      <c r="J747" s="23"/>
      <c r="K747" s="23"/>
      <c r="L747" s="23"/>
      <c r="M747" s="23"/>
      <c r="N747" s="23"/>
      <c r="O747" s="23"/>
    </row>
    <row r="748">
      <c r="B748" s="23"/>
      <c r="C748" s="23"/>
      <c r="E748" s="24"/>
      <c r="G748" s="23"/>
      <c r="H748" s="23"/>
      <c r="I748" s="23"/>
      <c r="J748" s="23"/>
      <c r="K748" s="23"/>
      <c r="L748" s="23"/>
      <c r="M748" s="23"/>
      <c r="N748" s="23"/>
      <c r="O748" s="23"/>
    </row>
    <row r="749">
      <c r="B749" s="23"/>
      <c r="C749" s="23"/>
      <c r="E749" s="24"/>
      <c r="G749" s="23"/>
      <c r="H749" s="23"/>
      <c r="I749" s="23"/>
      <c r="J749" s="23"/>
      <c r="K749" s="23"/>
      <c r="L749" s="23"/>
      <c r="M749" s="23"/>
      <c r="N749" s="23"/>
      <c r="O749" s="23"/>
    </row>
    <row r="750">
      <c r="B750" s="23"/>
      <c r="C750" s="23"/>
      <c r="E750" s="24"/>
      <c r="G750" s="23"/>
      <c r="H750" s="23"/>
      <c r="I750" s="23"/>
      <c r="J750" s="23"/>
      <c r="K750" s="23"/>
      <c r="L750" s="23"/>
      <c r="M750" s="23"/>
      <c r="N750" s="23"/>
      <c r="O750" s="23"/>
    </row>
    <row r="751">
      <c r="B751" s="23"/>
      <c r="C751" s="23"/>
      <c r="E751" s="24"/>
      <c r="G751" s="23"/>
      <c r="H751" s="23"/>
      <c r="I751" s="23"/>
      <c r="J751" s="23"/>
      <c r="K751" s="23"/>
      <c r="L751" s="23"/>
      <c r="M751" s="23"/>
      <c r="N751" s="23"/>
      <c r="O751" s="23"/>
    </row>
    <row r="752">
      <c r="B752" s="23"/>
      <c r="C752" s="23"/>
      <c r="E752" s="24"/>
      <c r="G752" s="23"/>
      <c r="H752" s="23"/>
      <c r="I752" s="23"/>
      <c r="J752" s="23"/>
      <c r="K752" s="23"/>
      <c r="L752" s="23"/>
      <c r="M752" s="23"/>
      <c r="N752" s="23"/>
      <c r="O752" s="23"/>
    </row>
    <row r="753">
      <c r="B753" s="23"/>
      <c r="C753" s="23"/>
      <c r="E753" s="24"/>
      <c r="G753" s="23"/>
      <c r="H753" s="23"/>
      <c r="I753" s="23"/>
      <c r="J753" s="23"/>
      <c r="K753" s="23"/>
      <c r="L753" s="23"/>
      <c r="M753" s="23"/>
      <c r="N753" s="23"/>
      <c r="O753" s="23"/>
    </row>
    <row r="754">
      <c r="B754" s="23"/>
      <c r="C754" s="23"/>
      <c r="E754" s="24"/>
      <c r="G754" s="23"/>
      <c r="H754" s="23"/>
      <c r="I754" s="23"/>
      <c r="J754" s="23"/>
      <c r="K754" s="23"/>
      <c r="L754" s="23"/>
      <c r="M754" s="23"/>
      <c r="N754" s="23"/>
      <c r="O754" s="23"/>
    </row>
    <row r="755">
      <c r="B755" s="23"/>
      <c r="C755" s="23"/>
      <c r="E755" s="24"/>
      <c r="G755" s="23"/>
      <c r="H755" s="23"/>
      <c r="I755" s="23"/>
      <c r="J755" s="23"/>
      <c r="K755" s="23"/>
      <c r="L755" s="23"/>
      <c r="M755" s="23"/>
      <c r="N755" s="23"/>
      <c r="O755" s="23"/>
    </row>
    <row r="756">
      <c r="B756" s="23"/>
      <c r="C756" s="23"/>
      <c r="E756" s="24"/>
      <c r="G756" s="23"/>
      <c r="H756" s="23"/>
      <c r="I756" s="23"/>
      <c r="J756" s="23"/>
      <c r="K756" s="23"/>
      <c r="L756" s="23"/>
      <c r="M756" s="23"/>
      <c r="N756" s="23"/>
      <c r="O756" s="23"/>
    </row>
    <row r="757">
      <c r="B757" s="23"/>
      <c r="C757" s="23"/>
      <c r="E757" s="24"/>
      <c r="G757" s="23"/>
      <c r="H757" s="23"/>
      <c r="I757" s="23"/>
      <c r="J757" s="23"/>
      <c r="K757" s="23"/>
      <c r="L757" s="23"/>
      <c r="M757" s="23"/>
      <c r="N757" s="23"/>
      <c r="O757" s="23"/>
    </row>
    <row r="758">
      <c r="B758" s="23"/>
      <c r="C758" s="23"/>
      <c r="E758" s="24"/>
      <c r="G758" s="23"/>
      <c r="H758" s="23"/>
      <c r="I758" s="23"/>
      <c r="J758" s="23"/>
      <c r="K758" s="23"/>
      <c r="L758" s="23"/>
      <c r="M758" s="23"/>
      <c r="N758" s="23"/>
      <c r="O758" s="23"/>
    </row>
    <row r="759">
      <c r="B759" s="23"/>
      <c r="C759" s="23"/>
      <c r="E759" s="24"/>
      <c r="G759" s="23"/>
      <c r="H759" s="23"/>
      <c r="I759" s="23"/>
      <c r="J759" s="23"/>
      <c r="K759" s="23"/>
      <c r="L759" s="23"/>
      <c r="M759" s="23"/>
      <c r="N759" s="23"/>
      <c r="O759" s="23"/>
    </row>
    <row r="760">
      <c r="B760" s="23"/>
      <c r="C760" s="23"/>
      <c r="E760" s="24"/>
      <c r="G760" s="23"/>
      <c r="H760" s="23"/>
      <c r="I760" s="23"/>
      <c r="J760" s="23"/>
      <c r="K760" s="23"/>
      <c r="L760" s="23"/>
      <c r="M760" s="23"/>
      <c r="N760" s="23"/>
      <c r="O760" s="23"/>
    </row>
    <row r="761">
      <c r="B761" s="23"/>
      <c r="C761" s="23"/>
      <c r="E761" s="24"/>
      <c r="G761" s="23"/>
      <c r="H761" s="23"/>
      <c r="I761" s="23"/>
      <c r="J761" s="23"/>
      <c r="K761" s="23"/>
      <c r="L761" s="23"/>
      <c r="M761" s="23"/>
      <c r="N761" s="23"/>
      <c r="O761" s="23"/>
    </row>
    <row r="762">
      <c r="B762" s="23"/>
      <c r="C762" s="23"/>
      <c r="E762" s="24"/>
      <c r="G762" s="23"/>
      <c r="H762" s="23"/>
      <c r="I762" s="23"/>
      <c r="J762" s="23"/>
      <c r="K762" s="23"/>
      <c r="L762" s="23"/>
      <c r="M762" s="23"/>
      <c r="N762" s="23"/>
      <c r="O762" s="23"/>
    </row>
    <row r="763">
      <c r="B763" s="23"/>
      <c r="C763" s="23"/>
      <c r="E763" s="24"/>
      <c r="G763" s="23"/>
      <c r="H763" s="23"/>
      <c r="I763" s="23"/>
      <c r="J763" s="23"/>
      <c r="K763" s="23"/>
      <c r="L763" s="23"/>
      <c r="M763" s="23"/>
      <c r="N763" s="23"/>
      <c r="O763" s="23"/>
    </row>
    <row r="764">
      <c r="B764" s="23"/>
      <c r="C764" s="23"/>
      <c r="E764" s="24"/>
      <c r="G764" s="23"/>
      <c r="H764" s="23"/>
      <c r="I764" s="23"/>
      <c r="J764" s="23"/>
      <c r="K764" s="23"/>
      <c r="L764" s="23"/>
      <c r="M764" s="23"/>
      <c r="N764" s="23"/>
      <c r="O764" s="23"/>
    </row>
    <row r="765">
      <c r="B765" s="23"/>
      <c r="C765" s="23"/>
      <c r="E765" s="24"/>
      <c r="G765" s="23"/>
      <c r="H765" s="23"/>
      <c r="I765" s="23"/>
      <c r="J765" s="23"/>
      <c r="K765" s="23"/>
      <c r="L765" s="23"/>
      <c r="M765" s="23"/>
      <c r="N765" s="23"/>
      <c r="O765" s="23"/>
    </row>
    <row r="766">
      <c r="B766" s="23"/>
      <c r="C766" s="23"/>
      <c r="E766" s="24"/>
      <c r="G766" s="23"/>
      <c r="H766" s="23"/>
      <c r="I766" s="23"/>
      <c r="J766" s="23"/>
      <c r="K766" s="23"/>
      <c r="L766" s="23"/>
      <c r="M766" s="23"/>
      <c r="N766" s="23"/>
      <c r="O766" s="23"/>
    </row>
    <row r="767">
      <c r="B767" s="23"/>
      <c r="C767" s="23"/>
      <c r="E767" s="24"/>
      <c r="G767" s="23"/>
      <c r="H767" s="23"/>
      <c r="I767" s="23"/>
      <c r="J767" s="23"/>
      <c r="K767" s="23"/>
      <c r="L767" s="23"/>
      <c r="M767" s="23"/>
      <c r="N767" s="23"/>
      <c r="O767" s="23"/>
    </row>
    <row r="768">
      <c r="B768" s="23"/>
      <c r="C768" s="23"/>
      <c r="E768" s="24"/>
      <c r="G768" s="23"/>
      <c r="H768" s="23"/>
      <c r="I768" s="23"/>
      <c r="J768" s="23"/>
      <c r="K768" s="23"/>
      <c r="L768" s="23"/>
      <c r="M768" s="23"/>
      <c r="N768" s="23"/>
      <c r="O768" s="23"/>
    </row>
    <row r="769">
      <c r="B769" s="23"/>
      <c r="C769" s="23"/>
      <c r="E769" s="24"/>
      <c r="G769" s="23"/>
      <c r="H769" s="23"/>
      <c r="I769" s="23"/>
      <c r="J769" s="23"/>
      <c r="K769" s="23"/>
      <c r="L769" s="23"/>
      <c r="M769" s="23"/>
      <c r="N769" s="23"/>
      <c r="O769" s="23"/>
    </row>
    <row r="770">
      <c r="B770" s="23"/>
      <c r="C770" s="23"/>
      <c r="E770" s="24"/>
      <c r="G770" s="23"/>
      <c r="H770" s="23"/>
      <c r="I770" s="23"/>
      <c r="J770" s="23"/>
      <c r="K770" s="23"/>
      <c r="L770" s="23"/>
      <c r="M770" s="23"/>
      <c r="N770" s="23"/>
      <c r="O770" s="23"/>
    </row>
    <row r="771">
      <c r="B771" s="23"/>
      <c r="C771" s="23"/>
      <c r="E771" s="24"/>
      <c r="G771" s="23"/>
      <c r="H771" s="23"/>
      <c r="I771" s="23"/>
      <c r="J771" s="23"/>
      <c r="K771" s="23"/>
      <c r="L771" s="23"/>
      <c r="M771" s="23"/>
      <c r="N771" s="23"/>
      <c r="O771" s="23"/>
    </row>
    <row r="772">
      <c r="B772" s="23"/>
      <c r="C772" s="23"/>
      <c r="E772" s="24"/>
      <c r="G772" s="23"/>
      <c r="H772" s="23"/>
      <c r="I772" s="23"/>
      <c r="J772" s="23"/>
      <c r="K772" s="23"/>
      <c r="L772" s="23"/>
      <c r="M772" s="23"/>
      <c r="N772" s="23"/>
      <c r="O772" s="23"/>
    </row>
    <row r="773">
      <c r="B773" s="23"/>
      <c r="C773" s="23"/>
      <c r="E773" s="24"/>
      <c r="G773" s="23"/>
      <c r="H773" s="23"/>
      <c r="I773" s="23"/>
      <c r="J773" s="23"/>
      <c r="K773" s="23"/>
      <c r="L773" s="23"/>
      <c r="M773" s="23"/>
      <c r="N773" s="23"/>
      <c r="O773" s="23"/>
    </row>
    <row r="774">
      <c r="B774" s="23"/>
      <c r="C774" s="23"/>
      <c r="E774" s="24"/>
      <c r="G774" s="23"/>
      <c r="H774" s="23"/>
      <c r="I774" s="23"/>
      <c r="J774" s="23"/>
      <c r="K774" s="23"/>
      <c r="L774" s="23"/>
      <c r="M774" s="23"/>
      <c r="N774" s="23"/>
      <c r="O774" s="23"/>
    </row>
    <row r="775">
      <c r="B775" s="23"/>
      <c r="C775" s="23"/>
      <c r="E775" s="24"/>
      <c r="G775" s="23"/>
      <c r="H775" s="23"/>
      <c r="I775" s="23"/>
      <c r="J775" s="23"/>
      <c r="K775" s="23"/>
      <c r="L775" s="23"/>
      <c r="M775" s="23"/>
      <c r="N775" s="23"/>
      <c r="O775" s="23"/>
    </row>
    <row r="776">
      <c r="B776" s="23"/>
      <c r="C776" s="23"/>
      <c r="E776" s="24"/>
      <c r="G776" s="23"/>
      <c r="H776" s="23"/>
      <c r="I776" s="23"/>
      <c r="J776" s="23"/>
      <c r="K776" s="23"/>
      <c r="L776" s="23"/>
      <c r="M776" s="23"/>
      <c r="N776" s="23"/>
      <c r="O776" s="23"/>
    </row>
    <row r="777">
      <c r="B777" s="23"/>
      <c r="C777" s="23"/>
      <c r="E777" s="24"/>
      <c r="G777" s="23"/>
      <c r="H777" s="23"/>
      <c r="I777" s="23"/>
      <c r="J777" s="23"/>
      <c r="K777" s="23"/>
      <c r="L777" s="23"/>
      <c r="M777" s="23"/>
      <c r="N777" s="23"/>
      <c r="O777" s="23"/>
    </row>
    <row r="778">
      <c r="B778" s="23"/>
      <c r="C778" s="23"/>
      <c r="E778" s="24"/>
      <c r="G778" s="23"/>
      <c r="H778" s="23"/>
      <c r="I778" s="23"/>
      <c r="J778" s="23"/>
      <c r="K778" s="23"/>
      <c r="L778" s="23"/>
      <c r="M778" s="23"/>
      <c r="N778" s="23"/>
      <c r="O778" s="23"/>
    </row>
    <row r="779">
      <c r="B779" s="23"/>
      <c r="C779" s="23"/>
      <c r="E779" s="24"/>
      <c r="G779" s="23"/>
      <c r="H779" s="23"/>
      <c r="I779" s="23"/>
      <c r="J779" s="23"/>
      <c r="K779" s="23"/>
      <c r="L779" s="23"/>
      <c r="M779" s="23"/>
      <c r="N779" s="23"/>
      <c r="O779" s="23"/>
    </row>
    <row r="780">
      <c r="B780" s="23"/>
      <c r="C780" s="23"/>
      <c r="E780" s="24"/>
      <c r="G780" s="23"/>
      <c r="H780" s="23"/>
      <c r="I780" s="23"/>
      <c r="J780" s="23"/>
      <c r="K780" s="23"/>
      <c r="L780" s="23"/>
      <c r="M780" s="23"/>
      <c r="N780" s="23"/>
      <c r="O780" s="23"/>
    </row>
    <row r="781">
      <c r="B781" s="23"/>
      <c r="C781" s="23"/>
      <c r="E781" s="24"/>
      <c r="G781" s="23"/>
      <c r="H781" s="23"/>
      <c r="I781" s="23"/>
      <c r="J781" s="23"/>
      <c r="K781" s="23"/>
      <c r="L781" s="23"/>
      <c r="M781" s="23"/>
      <c r="N781" s="23"/>
      <c r="O781" s="23"/>
    </row>
    <row r="782">
      <c r="B782" s="23"/>
      <c r="C782" s="23"/>
      <c r="E782" s="24"/>
      <c r="G782" s="23"/>
      <c r="H782" s="23"/>
      <c r="I782" s="23"/>
      <c r="J782" s="23"/>
      <c r="K782" s="23"/>
      <c r="L782" s="23"/>
      <c r="M782" s="23"/>
      <c r="N782" s="23"/>
      <c r="O782" s="23"/>
    </row>
    <row r="783">
      <c r="B783" s="23"/>
      <c r="C783" s="23"/>
      <c r="E783" s="24"/>
      <c r="G783" s="23"/>
      <c r="H783" s="23"/>
      <c r="I783" s="23"/>
      <c r="J783" s="23"/>
      <c r="K783" s="23"/>
      <c r="L783" s="23"/>
      <c r="M783" s="23"/>
      <c r="N783" s="23"/>
      <c r="O783" s="23"/>
    </row>
    <row r="784">
      <c r="B784" s="23"/>
      <c r="C784" s="23"/>
      <c r="E784" s="24"/>
      <c r="G784" s="23"/>
      <c r="H784" s="23"/>
      <c r="I784" s="23"/>
      <c r="J784" s="23"/>
      <c r="K784" s="23"/>
      <c r="L784" s="23"/>
      <c r="M784" s="23"/>
      <c r="N784" s="23"/>
      <c r="O784" s="23"/>
    </row>
    <row r="785">
      <c r="B785" s="23"/>
      <c r="C785" s="23"/>
      <c r="E785" s="24"/>
      <c r="G785" s="23"/>
      <c r="H785" s="23"/>
      <c r="I785" s="23"/>
      <c r="J785" s="23"/>
      <c r="K785" s="23"/>
      <c r="L785" s="23"/>
      <c r="M785" s="23"/>
      <c r="N785" s="23"/>
      <c r="O785" s="23"/>
    </row>
    <row r="786">
      <c r="B786" s="23"/>
      <c r="C786" s="23"/>
      <c r="E786" s="24"/>
      <c r="G786" s="23"/>
      <c r="H786" s="23"/>
      <c r="I786" s="23"/>
      <c r="J786" s="23"/>
      <c r="K786" s="23"/>
      <c r="L786" s="23"/>
      <c r="M786" s="23"/>
      <c r="N786" s="23"/>
      <c r="O786" s="23"/>
    </row>
    <row r="787">
      <c r="B787" s="23"/>
      <c r="C787" s="23"/>
      <c r="E787" s="24"/>
      <c r="G787" s="23"/>
      <c r="H787" s="23"/>
      <c r="I787" s="23"/>
      <c r="J787" s="23"/>
      <c r="K787" s="23"/>
      <c r="L787" s="23"/>
      <c r="M787" s="23"/>
      <c r="N787" s="23"/>
      <c r="O787" s="23"/>
    </row>
    <row r="788">
      <c r="B788" s="23"/>
      <c r="C788" s="23"/>
      <c r="E788" s="24"/>
      <c r="G788" s="23"/>
      <c r="H788" s="23"/>
      <c r="I788" s="23"/>
      <c r="J788" s="23"/>
      <c r="K788" s="23"/>
      <c r="L788" s="23"/>
      <c r="M788" s="23"/>
      <c r="N788" s="23"/>
      <c r="O788" s="23"/>
    </row>
    <row r="789">
      <c r="B789" s="23"/>
      <c r="C789" s="23"/>
      <c r="E789" s="24"/>
      <c r="G789" s="23"/>
      <c r="H789" s="23"/>
      <c r="I789" s="23"/>
      <c r="J789" s="23"/>
      <c r="K789" s="23"/>
      <c r="L789" s="23"/>
      <c r="M789" s="23"/>
      <c r="N789" s="23"/>
      <c r="O789" s="23"/>
    </row>
    <row r="790">
      <c r="B790" s="23"/>
      <c r="C790" s="23"/>
      <c r="E790" s="24"/>
      <c r="G790" s="23"/>
      <c r="H790" s="23"/>
      <c r="I790" s="23"/>
      <c r="J790" s="23"/>
      <c r="K790" s="23"/>
      <c r="L790" s="23"/>
      <c r="M790" s="23"/>
      <c r="N790" s="23"/>
      <c r="O790" s="23"/>
    </row>
    <row r="791">
      <c r="B791" s="23"/>
      <c r="C791" s="23"/>
      <c r="E791" s="24"/>
      <c r="G791" s="23"/>
      <c r="H791" s="23"/>
      <c r="I791" s="23"/>
      <c r="J791" s="23"/>
      <c r="K791" s="23"/>
      <c r="L791" s="23"/>
      <c r="M791" s="23"/>
      <c r="N791" s="23"/>
      <c r="O791" s="23"/>
    </row>
    <row r="792">
      <c r="B792" s="23"/>
      <c r="C792" s="23"/>
      <c r="E792" s="24"/>
      <c r="G792" s="23"/>
      <c r="H792" s="23"/>
      <c r="I792" s="23"/>
      <c r="J792" s="23"/>
      <c r="K792" s="23"/>
      <c r="L792" s="23"/>
      <c r="M792" s="23"/>
      <c r="N792" s="23"/>
      <c r="O792" s="23"/>
    </row>
    <row r="793">
      <c r="B793" s="23"/>
      <c r="C793" s="23"/>
      <c r="E793" s="24"/>
      <c r="G793" s="23"/>
      <c r="H793" s="23"/>
      <c r="I793" s="23"/>
      <c r="J793" s="23"/>
      <c r="K793" s="23"/>
      <c r="L793" s="23"/>
      <c r="M793" s="23"/>
      <c r="N793" s="23"/>
      <c r="O793" s="23"/>
    </row>
    <row r="794">
      <c r="B794" s="23"/>
      <c r="C794" s="23"/>
      <c r="E794" s="24"/>
      <c r="G794" s="23"/>
      <c r="H794" s="23"/>
      <c r="I794" s="23"/>
      <c r="J794" s="23"/>
      <c r="K794" s="23"/>
      <c r="L794" s="23"/>
      <c r="M794" s="23"/>
      <c r="N794" s="23"/>
      <c r="O794" s="23"/>
    </row>
    <row r="795">
      <c r="B795" s="23"/>
      <c r="C795" s="23"/>
      <c r="E795" s="24"/>
      <c r="G795" s="23"/>
      <c r="H795" s="23"/>
      <c r="I795" s="23"/>
      <c r="J795" s="23"/>
      <c r="K795" s="23"/>
      <c r="L795" s="23"/>
      <c r="M795" s="23"/>
      <c r="N795" s="23"/>
      <c r="O795" s="23"/>
    </row>
    <row r="796">
      <c r="B796" s="23"/>
      <c r="C796" s="23"/>
      <c r="E796" s="24"/>
      <c r="G796" s="23"/>
      <c r="H796" s="23"/>
      <c r="I796" s="23"/>
      <c r="J796" s="23"/>
      <c r="K796" s="23"/>
      <c r="L796" s="23"/>
      <c r="M796" s="23"/>
      <c r="N796" s="23"/>
      <c r="O796" s="23"/>
    </row>
    <row r="797">
      <c r="B797" s="23"/>
      <c r="C797" s="23"/>
      <c r="E797" s="24"/>
      <c r="G797" s="23"/>
      <c r="H797" s="23"/>
      <c r="I797" s="23"/>
      <c r="J797" s="23"/>
      <c r="K797" s="23"/>
      <c r="L797" s="23"/>
      <c r="M797" s="23"/>
      <c r="N797" s="23"/>
      <c r="O797" s="23"/>
    </row>
    <row r="798">
      <c r="B798" s="23"/>
      <c r="C798" s="23"/>
      <c r="E798" s="24"/>
      <c r="G798" s="23"/>
      <c r="H798" s="23"/>
      <c r="I798" s="23"/>
      <c r="J798" s="23"/>
      <c r="K798" s="23"/>
      <c r="L798" s="23"/>
      <c r="M798" s="23"/>
      <c r="N798" s="23"/>
      <c r="O798" s="23"/>
    </row>
    <row r="799">
      <c r="B799" s="23"/>
      <c r="C799" s="23"/>
      <c r="E799" s="24"/>
      <c r="G799" s="23"/>
      <c r="H799" s="23"/>
      <c r="I799" s="23"/>
      <c r="J799" s="23"/>
      <c r="K799" s="23"/>
      <c r="L799" s="23"/>
      <c r="M799" s="23"/>
      <c r="N799" s="23"/>
      <c r="O799" s="23"/>
    </row>
    <row r="800">
      <c r="B800" s="23"/>
      <c r="C800" s="23"/>
      <c r="E800" s="24"/>
      <c r="G800" s="23"/>
      <c r="H800" s="23"/>
      <c r="I800" s="23"/>
      <c r="J800" s="23"/>
      <c r="K800" s="23"/>
      <c r="L800" s="23"/>
      <c r="M800" s="23"/>
      <c r="N800" s="23"/>
      <c r="O800" s="23"/>
    </row>
    <row r="801">
      <c r="B801" s="23"/>
      <c r="C801" s="23"/>
      <c r="E801" s="24"/>
      <c r="G801" s="23"/>
      <c r="H801" s="23"/>
      <c r="I801" s="23"/>
      <c r="J801" s="23"/>
      <c r="K801" s="23"/>
      <c r="L801" s="23"/>
      <c r="M801" s="23"/>
      <c r="N801" s="23"/>
      <c r="O801" s="23"/>
    </row>
    <row r="802">
      <c r="B802" s="23"/>
      <c r="C802" s="23"/>
      <c r="E802" s="24"/>
      <c r="G802" s="23"/>
      <c r="H802" s="23"/>
      <c r="I802" s="23"/>
      <c r="J802" s="23"/>
      <c r="K802" s="23"/>
      <c r="L802" s="23"/>
      <c r="M802" s="23"/>
      <c r="N802" s="23"/>
      <c r="O802" s="23"/>
    </row>
    <row r="803">
      <c r="B803" s="23"/>
      <c r="C803" s="23"/>
      <c r="E803" s="24"/>
      <c r="G803" s="23"/>
      <c r="H803" s="23"/>
      <c r="I803" s="23"/>
      <c r="J803" s="23"/>
      <c r="K803" s="23"/>
      <c r="L803" s="23"/>
      <c r="M803" s="23"/>
      <c r="N803" s="23"/>
      <c r="O803" s="23"/>
    </row>
    <row r="804">
      <c r="B804" s="23"/>
      <c r="C804" s="23"/>
      <c r="E804" s="24"/>
      <c r="G804" s="23"/>
      <c r="H804" s="23"/>
      <c r="I804" s="23"/>
      <c r="J804" s="23"/>
      <c r="K804" s="23"/>
      <c r="L804" s="23"/>
      <c r="M804" s="23"/>
      <c r="N804" s="23"/>
      <c r="O804" s="23"/>
    </row>
    <row r="805">
      <c r="B805" s="23"/>
      <c r="C805" s="23"/>
      <c r="E805" s="24"/>
      <c r="G805" s="23"/>
      <c r="H805" s="23"/>
      <c r="I805" s="23"/>
      <c r="J805" s="23"/>
      <c r="K805" s="23"/>
      <c r="L805" s="23"/>
      <c r="M805" s="23"/>
      <c r="N805" s="23"/>
      <c r="O805" s="23"/>
    </row>
    <row r="806">
      <c r="B806" s="23"/>
      <c r="C806" s="23"/>
      <c r="E806" s="24"/>
      <c r="G806" s="23"/>
      <c r="H806" s="23"/>
      <c r="I806" s="23"/>
      <c r="J806" s="23"/>
      <c r="K806" s="23"/>
      <c r="L806" s="23"/>
      <c r="M806" s="23"/>
      <c r="N806" s="23"/>
      <c r="O806" s="23"/>
    </row>
    <row r="807">
      <c r="B807" s="23"/>
      <c r="C807" s="23"/>
      <c r="E807" s="24"/>
      <c r="G807" s="23"/>
      <c r="H807" s="23"/>
      <c r="I807" s="23"/>
      <c r="J807" s="23"/>
      <c r="K807" s="23"/>
      <c r="L807" s="23"/>
      <c r="M807" s="23"/>
      <c r="N807" s="23"/>
      <c r="O807" s="23"/>
    </row>
    <row r="808">
      <c r="B808" s="23"/>
      <c r="C808" s="23"/>
      <c r="E808" s="24"/>
      <c r="G808" s="23"/>
      <c r="H808" s="23"/>
      <c r="I808" s="23"/>
      <c r="J808" s="23"/>
      <c r="K808" s="23"/>
      <c r="L808" s="23"/>
      <c r="M808" s="23"/>
      <c r="N808" s="23"/>
      <c r="O808" s="23"/>
    </row>
    <row r="809">
      <c r="B809" s="23"/>
      <c r="C809" s="23"/>
      <c r="E809" s="24"/>
      <c r="G809" s="23"/>
      <c r="H809" s="23"/>
      <c r="I809" s="23"/>
      <c r="J809" s="23"/>
      <c r="K809" s="23"/>
      <c r="L809" s="23"/>
      <c r="M809" s="23"/>
      <c r="N809" s="23"/>
      <c r="O809" s="23"/>
    </row>
    <row r="810">
      <c r="B810" s="23"/>
      <c r="C810" s="23"/>
      <c r="E810" s="24"/>
      <c r="G810" s="23"/>
      <c r="H810" s="23"/>
      <c r="I810" s="23"/>
      <c r="J810" s="23"/>
      <c r="K810" s="23"/>
      <c r="L810" s="23"/>
      <c r="M810" s="23"/>
      <c r="N810" s="23"/>
      <c r="O810" s="23"/>
    </row>
    <row r="811">
      <c r="B811" s="23"/>
      <c r="C811" s="23"/>
      <c r="E811" s="24"/>
      <c r="G811" s="23"/>
      <c r="H811" s="23"/>
      <c r="I811" s="23"/>
      <c r="J811" s="23"/>
      <c r="K811" s="23"/>
      <c r="L811" s="23"/>
      <c r="M811" s="23"/>
      <c r="N811" s="23"/>
      <c r="O811" s="23"/>
    </row>
    <row r="812">
      <c r="B812" s="23"/>
      <c r="C812" s="23"/>
      <c r="E812" s="24"/>
      <c r="G812" s="23"/>
      <c r="H812" s="23"/>
      <c r="I812" s="23"/>
      <c r="J812" s="23"/>
      <c r="K812" s="23"/>
      <c r="L812" s="23"/>
      <c r="M812" s="23"/>
      <c r="N812" s="23"/>
      <c r="O812" s="23"/>
    </row>
    <row r="813">
      <c r="B813" s="23"/>
      <c r="C813" s="23"/>
      <c r="E813" s="24"/>
      <c r="G813" s="23"/>
      <c r="H813" s="23"/>
      <c r="I813" s="23"/>
      <c r="J813" s="23"/>
      <c r="K813" s="23"/>
      <c r="L813" s="23"/>
      <c r="M813" s="23"/>
      <c r="N813" s="23"/>
      <c r="O813" s="23"/>
    </row>
    <row r="814">
      <c r="B814" s="23"/>
      <c r="C814" s="23"/>
      <c r="E814" s="24"/>
      <c r="G814" s="23"/>
      <c r="H814" s="23"/>
      <c r="I814" s="23"/>
      <c r="J814" s="23"/>
      <c r="K814" s="23"/>
      <c r="L814" s="23"/>
      <c r="M814" s="23"/>
      <c r="N814" s="23"/>
      <c r="O814" s="23"/>
    </row>
    <row r="815">
      <c r="B815" s="23"/>
      <c r="C815" s="23"/>
      <c r="E815" s="24"/>
      <c r="G815" s="23"/>
      <c r="H815" s="23"/>
      <c r="I815" s="23"/>
      <c r="J815" s="23"/>
      <c r="K815" s="23"/>
      <c r="L815" s="23"/>
      <c r="M815" s="23"/>
      <c r="N815" s="23"/>
      <c r="O815" s="23"/>
    </row>
    <row r="816">
      <c r="B816" s="23"/>
      <c r="C816" s="23"/>
      <c r="E816" s="24"/>
      <c r="G816" s="23"/>
      <c r="H816" s="23"/>
      <c r="I816" s="23"/>
      <c r="J816" s="23"/>
      <c r="K816" s="23"/>
      <c r="L816" s="23"/>
      <c r="M816" s="23"/>
      <c r="N816" s="23"/>
      <c r="O816" s="23"/>
    </row>
    <row r="817">
      <c r="B817" s="23"/>
      <c r="C817" s="23"/>
      <c r="E817" s="24"/>
      <c r="G817" s="23"/>
      <c r="H817" s="23"/>
      <c r="I817" s="23"/>
      <c r="J817" s="23"/>
      <c r="K817" s="23"/>
      <c r="L817" s="23"/>
      <c r="M817" s="23"/>
      <c r="N817" s="23"/>
      <c r="O817" s="23"/>
    </row>
    <row r="818">
      <c r="B818" s="23"/>
      <c r="C818" s="23"/>
      <c r="E818" s="24"/>
      <c r="G818" s="23"/>
      <c r="H818" s="23"/>
      <c r="I818" s="23"/>
      <c r="J818" s="23"/>
      <c r="K818" s="23"/>
      <c r="L818" s="23"/>
      <c r="M818" s="23"/>
      <c r="N818" s="23"/>
      <c r="O818" s="23"/>
    </row>
    <row r="819">
      <c r="B819" s="23"/>
      <c r="C819" s="23"/>
      <c r="E819" s="24"/>
      <c r="G819" s="23"/>
      <c r="H819" s="23"/>
      <c r="I819" s="23"/>
      <c r="J819" s="23"/>
      <c r="K819" s="23"/>
      <c r="L819" s="23"/>
      <c r="M819" s="23"/>
      <c r="N819" s="23"/>
      <c r="O819" s="23"/>
    </row>
    <row r="820">
      <c r="B820" s="23"/>
      <c r="C820" s="23"/>
      <c r="E820" s="24"/>
      <c r="G820" s="23"/>
      <c r="H820" s="23"/>
      <c r="I820" s="23"/>
      <c r="J820" s="23"/>
      <c r="K820" s="23"/>
      <c r="L820" s="23"/>
      <c r="M820" s="23"/>
      <c r="N820" s="23"/>
      <c r="O820" s="23"/>
    </row>
    <row r="821">
      <c r="B821" s="23"/>
      <c r="C821" s="23"/>
      <c r="E821" s="24"/>
      <c r="G821" s="23"/>
      <c r="H821" s="23"/>
      <c r="I821" s="23"/>
      <c r="J821" s="23"/>
      <c r="K821" s="23"/>
      <c r="L821" s="23"/>
      <c r="M821" s="23"/>
      <c r="N821" s="23"/>
      <c r="O821" s="23"/>
    </row>
    <row r="822">
      <c r="B822" s="23"/>
      <c r="C822" s="23"/>
      <c r="E822" s="24"/>
      <c r="G822" s="23"/>
      <c r="H822" s="23"/>
      <c r="I822" s="23"/>
      <c r="J822" s="23"/>
      <c r="K822" s="23"/>
      <c r="L822" s="23"/>
      <c r="M822" s="23"/>
      <c r="N822" s="23"/>
      <c r="O822" s="23"/>
    </row>
    <row r="823">
      <c r="B823" s="23"/>
      <c r="C823" s="23"/>
      <c r="E823" s="24"/>
      <c r="G823" s="23"/>
      <c r="H823" s="23"/>
      <c r="I823" s="23"/>
      <c r="J823" s="23"/>
      <c r="K823" s="23"/>
      <c r="L823" s="23"/>
      <c r="M823" s="23"/>
      <c r="N823" s="23"/>
      <c r="O823" s="23"/>
    </row>
    <row r="824">
      <c r="B824" s="23"/>
      <c r="C824" s="23"/>
      <c r="E824" s="24"/>
      <c r="G824" s="23"/>
      <c r="H824" s="23"/>
      <c r="I824" s="23"/>
      <c r="J824" s="23"/>
      <c r="K824" s="23"/>
      <c r="L824" s="23"/>
      <c r="M824" s="23"/>
      <c r="N824" s="23"/>
      <c r="O824" s="23"/>
    </row>
    <row r="825">
      <c r="B825" s="23"/>
      <c r="C825" s="23"/>
      <c r="E825" s="24"/>
      <c r="G825" s="23"/>
      <c r="H825" s="23"/>
      <c r="I825" s="23"/>
      <c r="J825" s="23"/>
      <c r="K825" s="23"/>
      <c r="L825" s="23"/>
      <c r="M825" s="23"/>
      <c r="N825" s="23"/>
      <c r="O825" s="23"/>
    </row>
    <row r="826">
      <c r="B826" s="23"/>
      <c r="C826" s="23"/>
      <c r="E826" s="24"/>
      <c r="G826" s="23"/>
      <c r="H826" s="23"/>
      <c r="I826" s="23"/>
      <c r="J826" s="23"/>
      <c r="K826" s="23"/>
      <c r="L826" s="23"/>
      <c r="M826" s="23"/>
      <c r="N826" s="23"/>
      <c r="O826" s="23"/>
    </row>
    <row r="827">
      <c r="B827" s="23"/>
      <c r="C827" s="23"/>
      <c r="E827" s="24"/>
      <c r="G827" s="23"/>
      <c r="H827" s="23"/>
      <c r="I827" s="23"/>
      <c r="J827" s="23"/>
      <c r="K827" s="23"/>
      <c r="L827" s="23"/>
      <c r="M827" s="23"/>
      <c r="N827" s="23"/>
      <c r="O827" s="23"/>
    </row>
    <row r="828">
      <c r="B828" s="23"/>
      <c r="C828" s="23"/>
      <c r="E828" s="24"/>
      <c r="G828" s="23"/>
      <c r="H828" s="23"/>
      <c r="I828" s="23"/>
      <c r="J828" s="23"/>
      <c r="K828" s="23"/>
      <c r="L828" s="23"/>
      <c r="M828" s="23"/>
      <c r="N828" s="23"/>
      <c r="O828" s="23"/>
    </row>
    <row r="829">
      <c r="B829" s="23"/>
      <c r="C829" s="23"/>
      <c r="E829" s="24"/>
      <c r="G829" s="23"/>
      <c r="H829" s="23"/>
      <c r="I829" s="23"/>
      <c r="J829" s="23"/>
      <c r="K829" s="23"/>
      <c r="L829" s="23"/>
      <c r="M829" s="23"/>
      <c r="N829" s="23"/>
      <c r="O829" s="23"/>
    </row>
    <row r="830">
      <c r="B830" s="23"/>
      <c r="C830" s="23"/>
      <c r="E830" s="24"/>
      <c r="G830" s="23"/>
      <c r="H830" s="23"/>
      <c r="I830" s="23"/>
      <c r="J830" s="23"/>
      <c r="K830" s="23"/>
      <c r="L830" s="23"/>
      <c r="M830" s="23"/>
      <c r="N830" s="23"/>
      <c r="O830" s="23"/>
    </row>
    <row r="831">
      <c r="B831" s="23"/>
      <c r="C831" s="23"/>
      <c r="E831" s="24"/>
      <c r="G831" s="23"/>
      <c r="H831" s="23"/>
      <c r="I831" s="23"/>
      <c r="J831" s="23"/>
      <c r="K831" s="23"/>
      <c r="L831" s="23"/>
      <c r="M831" s="23"/>
      <c r="N831" s="23"/>
      <c r="O831" s="23"/>
    </row>
    <row r="832">
      <c r="B832" s="23"/>
      <c r="C832" s="23"/>
      <c r="E832" s="24"/>
      <c r="G832" s="23"/>
      <c r="H832" s="23"/>
      <c r="I832" s="23"/>
      <c r="J832" s="23"/>
      <c r="K832" s="23"/>
      <c r="L832" s="23"/>
      <c r="M832" s="23"/>
      <c r="N832" s="23"/>
      <c r="O832" s="23"/>
    </row>
    <row r="833">
      <c r="B833" s="23"/>
      <c r="C833" s="23"/>
      <c r="E833" s="24"/>
      <c r="G833" s="23"/>
      <c r="H833" s="23"/>
      <c r="I833" s="23"/>
      <c r="J833" s="23"/>
      <c r="K833" s="23"/>
      <c r="L833" s="23"/>
      <c r="M833" s="23"/>
      <c r="N833" s="23"/>
      <c r="O833" s="23"/>
    </row>
    <row r="834">
      <c r="B834" s="23"/>
      <c r="C834" s="23"/>
      <c r="E834" s="24"/>
      <c r="G834" s="23"/>
      <c r="H834" s="23"/>
      <c r="I834" s="23"/>
      <c r="J834" s="23"/>
      <c r="K834" s="23"/>
      <c r="L834" s="23"/>
      <c r="M834" s="23"/>
      <c r="N834" s="23"/>
      <c r="O834" s="23"/>
    </row>
    <row r="835">
      <c r="B835" s="23"/>
      <c r="C835" s="23"/>
      <c r="E835" s="24"/>
      <c r="G835" s="23"/>
      <c r="H835" s="23"/>
      <c r="I835" s="23"/>
      <c r="J835" s="23"/>
      <c r="K835" s="23"/>
      <c r="L835" s="23"/>
      <c r="M835" s="23"/>
      <c r="N835" s="23"/>
      <c r="O835" s="23"/>
    </row>
    <row r="836">
      <c r="B836" s="23"/>
      <c r="C836" s="23"/>
      <c r="E836" s="24"/>
      <c r="G836" s="23"/>
      <c r="H836" s="23"/>
      <c r="I836" s="23"/>
      <c r="J836" s="23"/>
      <c r="K836" s="23"/>
      <c r="L836" s="23"/>
      <c r="M836" s="23"/>
      <c r="N836" s="23"/>
      <c r="O836" s="23"/>
    </row>
    <row r="837">
      <c r="B837" s="23"/>
      <c r="C837" s="23"/>
      <c r="E837" s="24"/>
      <c r="G837" s="23"/>
      <c r="H837" s="23"/>
      <c r="I837" s="23"/>
      <c r="J837" s="23"/>
      <c r="K837" s="23"/>
      <c r="L837" s="23"/>
      <c r="M837" s="23"/>
      <c r="N837" s="23"/>
      <c r="O837" s="23"/>
    </row>
    <row r="838">
      <c r="B838" s="23"/>
      <c r="C838" s="23"/>
      <c r="E838" s="24"/>
      <c r="G838" s="23"/>
      <c r="H838" s="23"/>
      <c r="I838" s="23"/>
      <c r="J838" s="23"/>
      <c r="K838" s="23"/>
      <c r="L838" s="23"/>
      <c r="M838" s="23"/>
      <c r="N838" s="23"/>
      <c r="O838" s="23"/>
    </row>
    <row r="839">
      <c r="B839" s="23"/>
      <c r="C839" s="23"/>
      <c r="E839" s="24"/>
      <c r="G839" s="23"/>
      <c r="H839" s="23"/>
      <c r="I839" s="23"/>
      <c r="J839" s="23"/>
      <c r="K839" s="23"/>
      <c r="L839" s="23"/>
      <c r="M839" s="23"/>
      <c r="N839" s="23"/>
      <c r="O839" s="23"/>
    </row>
    <row r="840">
      <c r="B840" s="23"/>
      <c r="C840" s="23"/>
      <c r="E840" s="24"/>
      <c r="G840" s="23"/>
      <c r="H840" s="23"/>
      <c r="I840" s="23"/>
      <c r="J840" s="23"/>
      <c r="K840" s="23"/>
      <c r="L840" s="23"/>
      <c r="M840" s="23"/>
      <c r="N840" s="23"/>
      <c r="O840" s="23"/>
    </row>
    <row r="841">
      <c r="B841" s="23"/>
      <c r="C841" s="23"/>
      <c r="E841" s="24"/>
      <c r="G841" s="23"/>
      <c r="H841" s="23"/>
      <c r="I841" s="23"/>
      <c r="J841" s="23"/>
      <c r="K841" s="23"/>
      <c r="L841" s="23"/>
      <c r="M841" s="23"/>
      <c r="N841" s="23"/>
      <c r="O841" s="23"/>
    </row>
    <row r="842">
      <c r="B842" s="23"/>
      <c r="C842" s="23"/>
      <c r="E842" s="24"/>
      <c r="G842" s="23"/>
      <c r="H842" s="23"/>
      <c r="I842" s="23"/>
      <c r="J842" s="23"/>
      <c r="K842" s="23"/>
      <c r="L842" s="23"/>
      <c r="M842" s="23"/>
      <c r="N842" s="23"/>
      <c r="O842" s="23"/>
    </row>
    <row r="843">
      <c r="B843" s="23"/>
      <c r="C843" s="23"/>
      <c r="E843" s="24"/>
      <c r="G843" s="23"/>
      <c r="H843" s="23"/>
      <c r="I843" s="23"/>
      <c r="J843" s="23"/>
      <c r="K843" s="23"/>
      <c r="L843" s="23"/>
      <c r="M843" s="23"/>
      <c r="N843" s="23"/>
      <c r="O843" s="23"/>
    </row>
    <row r="844">
      <c r="B844" s="23"/>
      <c r="C844" s="23"/>
      <c r="E844" s="24"/>
      <c r="G844" s="23"/>
      <c r="H844" s="23"/>
      <c r="I844" s="23"/>
      <c r="J844" s="23"/>
      <c r="K844" s="23"/>
      <c r="L844" s="23"/>
      <c r="M844" s="23"/>
      <c r="N844" s="23"/>
      <c r="O844" s="23"/>
    </row>
    <row r="845">
      <c r="B845" s="23"/>
      <c r="C845" s="23"/>
      <c r="E845" s="24"/>
      <c r="G845" s="23"/>
      <c r="H845" s="23"/>
      <c r="I845" s="23"/>
      <c r="J845" s="23"/>
      <c r="K845" s="23"/>
      <c r="L845" s="23"/>
      <c r="M845" s="23"/>
      <c r="N845" s="23"/>
      <c r="O845" s="23"/>
    </row>
    <row r="846">
      <c r="B846" s="23"/>
      <c r="C846" s="23"/>
      <c r="E846" s="24"/>
      <c r="G846" s="23"/>
      <c r="H846" s="23"/>
      <c r="I846" s="23"/>
      <c r="J846" s="23"/>
      <c r="K846" s="23"/>
      <c r="L846" s="23"/>
      <c r="M846" s="23"/>
      <c r="N846" s="23"/>
      <c r="O846" s="23"/>
    </row>
    <row r="847">
      <c r="B847" s="23"/>
      <c r="C847" s="23"/>
      <c r="E847" s="24"/>
      <c r="G847" s="23"/>
      <c r="H847" s="23"/>
      <c r="I847" s="23"/>
      <c r="J847" s="23"/>
      <c r="K847" s="23"/>
      <c r="L847" s="23"/>
      <c r="M847" s="23"/>
      <c r="N847" s="23"/>
      <c r="O847" s="23"/>
    </row>
    <row r="848">
      <c r="B848" s="23"/>
      <c r="C848" s="23"/>
      <c r="E848" s="24"/>
      <c r="G848" s="23"/>
      <c r="H848" s="23"/>
      <c r="I848" s="23"/>
      <c r="J848" s="23"/>
      <c r="K848" s="23"/>
      <c r="L848" s="23"/>
      <c r="M848" s="23"/>
      <c r="N848" s="23"/>
      <c r="O848" s="23"/>
    </row>
    <row r="849">
      <c r="B849" s="23"/>
      <c r="C849" s="23"/>
      <c r="E849" s="24"/>
      <c r="G849" s="23"/>
      <c r="H849" s="23"/>
      <c r="I849" s="23"/>
      <c r="J849" s="23"/>
      <c r="K849" s="23"/>
      <c r="L849" s="23"/>
      <c r="M849" s="23"/>
      <c r="N849" s="23"/>
      <c r="O849" s="23"/>
    </row>
    <row r="850">
      <c r="B850" s="23"/>
      <c r="C850" s="23"/>
      <c r="E850" s="24"/>
      <c r="G850" s="23"/>
      <c r="H850" s="23"/>
      <c r="I850" s="23"/>
      <c r="J850" s="23"/>
      <c r="K850" s="23"/>
      <c r="L850" s="23"/>
      <c r="M850" s="23"/>
      <c r="N850" s="23"/>
      <c r="O850" s="23"/>
    </row>
    <row r="851">
      <c r="B851" s="23"/>
      <c r="C851" s="23"/>
      <c r="E851" s="24"/>
      <c r="G851" s="23"/>
      <c r="H851" s="23"/>
      <c r="I851" s="23"/>
      <c r="J851" s="23"/>
      <c r="K851" s="23"/>
      <c r="L851" s="23"/>
      <c r="M851" s="23"/>
      <c r="N851" s="23"/>
      <c r="O851" s="23"/>
    </row>
    <row r="852">
      <c r="B852" s="23"/>
      <c r="C852" s="23"/>
      <c r="E852" s="24"/>
      <c r="G852" s="23"/>
      <c r="H852" s="23"/>
      <c r="I852" s="23"/>
      <c r="J852" s="23"/>
      <c r="K852" s="23"/>
      <c r="L852" s="23"/>
      <c r="M852" s="23"/>
      <c r="N852" s="23"/>
      <c r="O852" s="23"/>
    </row>
    <row r="853">
      <c r="B853" s="23"/>
      <c r="C853" s="23"/>
      <c r="E853" s="24"/>
      <c r="G853" s="23"/>
      <c r="H853" s="23"/>
      <c r="I853" s="23"/>
      <c r="J853" s="23"/>
      <c r="K853" s="23"/>
      <c r="L853" s="23"/>
      <c r="M853" s="23"/>
      <c r="N853" s="23"/>
      <c r="O853" s="23"/>
    </row>
    <row r="854">
      <c r="B854" s="23"/>
      <c r="C854" s="23"/>
      <c r="E854" s="24"/>
      <c r="G854" s="23"/>
      <c r="H854" s="23"/>
      <c r="I854" s="23"/>
      <c r="J854" s="23"/>
      <c r="K854" s="23"/>
      <c r="L854" s="23"/>
      <c r="M854" s="23"/>
      <c r="N854" s="23"/>
      <c r="O854" s="23"/>
    </row>
    <row r="855">
      <c r="B855" s="23"/>
      <c r="C855" s="23"/>
      <c r="E855" s="24"/>
      <c r="G855" s="23"/>
      <c r="H855" s="23"/>
      <c r="I855" s="23"/>
      <c r="J855" s="23"/>
      <c r="K855" s="23"/>
      <c r="L855" s="23"/>
      <c r="M855" s="23"/>
      <c r="N855" s="23"/>
      <c r="O855" s="23"/>
    </row>
    <row r="856">
      <c r="B856" s="23"/>
      <c r="C856" s="23"/>
      <c r="E856" s="24"/>
      <c r="G856" s="23"/>
      <c r="H856" s="23"/>
      <c r="I856" s="23"/>
      <c r="J856" s="23"/>
      <c r="K856" s="23"/>
      <c r="L856" s="23"/>
      <c r="M856" s="23"/>
      <c r="N856" s="23"/>
      <c r="O856" s="23"/>
    </row>
    <row r="857">
      <c r="B857" s="23"/>
      <c r="C857" s="23"/>
      <c r="E857" s="24"/>
      <c r="G857" s="23"/>
      <c r="H857" s="23"/>
      <c r="I857" s="23"/>
      <c r="J857" s="23"/>
      <c r="K857" s="23"/>
      <c r="L857" s="23"/>
      <c r="M857" s="23"/>
      <c r="N857" s="23"/>
      <c r="O857" s="23"/>
    </row>
    <row r="858">
      <c r="B858" s="23"/>
      <c r="C858" s="23"/>
      <c r="E858" s="24"/>
      <c r="G858" s="23"/>
      <c r="H858" s="23"/>
      <c r="I858" s="23"/>
      <c r="J858" s="23"/>
      <c r="K858" s="23"/>
      <c r="L858" s="23"/>
      <c r="M858" s="23"/>
      <c r="N858" s="23"/>
      <c r="O858" s="23"/>
    </row>
    <row r="859">
      <c r="B859" s="23"/>
      <c r="C859" s="23"/>
      <c r="E859" s="24"/>
      <c r="G859" s="23"/>
      <c r="H859" s="23"/>
      <c r="I859" s="23"/>
      <c r="J859" s="23"/>
      <c r="K859" s="23"/>
      <c r="L859" s="23"/>
      <c r="M859" s="23"/>
      <c r="N859" s="23"/>
      <c r="O859" s="23"/>
    </row>
    <row r="860">
      <c r="B860" s="23"/>
      <c r="C860" s="23"/>
      <c r="E860" s="24"/>
      <c r="G860" s="23"/>
      <c r="H860" s="23"/>
      <c r="I860" s="23"/>
      <c r="J860" s="23"/>
      <c r="K860" s="23"/>
      <c r="L860" s="23"/>
      <c r="M860" s="23"/>
      <c r="N860" s="23"/>
      <c r="O860" s="23"/>
    </row>
    <row r="861">
      <c r="B861" s="23"/>
      <c r="C861" s="23"/>
      <c r="E861" s="24"/>
      <c r="G861" s="23"/>
      <c r="H861" s="23"/>
      <c r="I861" s="23"/>
      <c r="J861" s="23"/>
      <c r="K861" s="23"/>
      <c r="L861" s="23"/>
      <c r="M861" s="23"/>
      <c r="N861" s="23"/>
      <c r="O861" s="23"/>
    </row>
    <row r="862">
      <c r="B862" s="23"/>
      <c r="C862" s="23"/>
      <c r="E862" s="24"/>
      <c r="G862" s="23"/>
      <c r="H862" s="23"/>
      <c r="I862" s="23"/>
      <c r="J862" s="23"/>
      <c r="K862" s="23"/>
      <c r="L862" s="23"/>
      <c r="M862" s="23"/>
      <c r="N862" s="23"/>
      <c r="O862" s="23"/>
    </row>
    <row r="863">
      <c r="B863" s="23"/>
      <c r="C863" s="23"/>
      <c r="E863" s="24"/>
      <c r="G863" s="23"/>
      <c r="H863" s="23"/>
      <c r="I863" s="23"/>
      <c r="J863" s="23"/>
      <c r="K863" s="23"/>
      <c r="L863" s="23"/>
      <c r="M863" s="23"/>
      <c r="N863" s="23"/>
      <c r="O863" s="23"/>
    </row>
    <row r="864">
      <c r="B864" s="23"/>
      <c r="C864" s="23"/>
      <c r="E864" s="24"/>
      <c r="G864" s="23"/>
      <c r="H864" s="23"/>
      <c r="I864" s="23"/>
      <c r="J864" s="23"/>
      <c r="K864" s="23"/>
      <c r="L864" s="23"/>
      <c r="M864" s="23"/>
      <c r="N864" s="23"/>
      <c r="O864" s="23"/>
    </row>
    <row r="865">
      <c r="B865" s="23"/>
      <c r="C865" s="23"/>
      <c r="E865" s="24"/>
      <c r="G865" s="23"/>
      <c r="H865" s="23"/>
      <c r="I865" s="23"/>
      <c r="J865" s="23"/>
      <c r="K865" s="23"/>
      <c r="L865" s="23"/>
      <c r="M865" s="23"/>
      <c r="N865" s="23"/>
      <c r="O865" s="23"/>
    </row>
    <row r="866">
      <c r="B866" s="23"/>
      <c r="C866" s="23"/>
      <c r="E866" s="24"/>
      <c r="G866" s="23"/>
      <c r="H866" s="23"/>
      <c r="I866" s="23"/>
      <c r="J866" s="23"/>
      <c r="K866" s="23"/>
      <c r="L866" s="23"/>
      <c r="M866" s="23"/>
      <c r="N866" s="23"/>
      <c r="O866" s="23"/>
    </row>
    <row r="867">
      <c r="B867" s="23"/>
      <c r="C867" s="23"/>
      <c r="E867" s="24"/>
      <c r="G867" s="23"/>
      <c r="H867" s="23"/>
      <c r="I867" s="23"/>
      <c r="J867" s="23"/>
      <c r="K867" s="23"/>
      <c r="L867" s="23"/>
      <c r="M867" s="23"/>
      <c r="N867" s="23"/>
      <c r="O867" s="23"/>
    </row>
    <row r="868">
      <c r="B868" s="23"/>
      <c r="C868" s="23"/>
      <c r="E868" s="24"/>
      <c r="G868" s="23"/>
      <c r="H868" s="23"/>
      <c r="I868" s="23"/>
      <c r="J868" s="23"/>
      <c r="K868" s="23"/>
      <c r="L868" s="23"/>
      <c r="M868" s="23"/>
      <c r="N868" s="23"/>
      <c r="O868" s="23"/>
    </row>
    <row r="869">
      <c r="B869" s="23"/>
      <c r="C869" s="23"/>
      <c r="E869" s="24"/>
      <c r="G869" s="23"/>
      <c r="H869" s="23"/>
      <c r="I869" s="23"/>
      <c r="J869" s="23"/>
      <c r="K869" s="23"/>
      <c r="L869" s="23"/>
      <c r="M869" s="23"/>
      <c r="N869" s="23"/>
      <c r="O869" s="23"/>
    </row>
    <row r="870">
      <c r="B870" s="23"/>
      <c r="C870" s="23"/>
      <c r="E870" s="24"/>
      <c r="G870" s="23"/>
      <c r="H870" s="23"/>
      <c r="I870" s="23"/>
      <c r="J870" s="23"/>
      <c r="K870" s="23"/>
      <c r="L870" s="23"/>
      <c r="M870" s="23"/>
      <c r="N870" s="23"/>
      <c r="O870" s="23"/>
    </row>
    <row r="871">
      <c r="B871" s="23"/>
      <c r="C871" s="23"/>
      <c r="E871" s="24"/>
      <c r="G871" s="23"/>
      <c r="H871" s="23"/>
      <c r="I871" s="23"/>
      <c r="J871" s="23"/>
      <c r="K871" s="23"/>
      <c r="L871" s="23"/>
      <c r="M871" s="23"/>
      <c r="N871" s="23"/>
      <c r="O871" s="23"/>
    </row>
    <row r="872">
      <c r="B872" s="23"/>
      <c r="C872" s="23"/>
      <c r="E872" s="24"/>
      <c r="G872" s="23"/>
      <c r="H872" s="23"/>
      <c r="I872" s="23"/>
      <c r="J872" s="23"/>
      <c r="K872" s="23"/>
      <c r="L872" s="23"/>
      <c r="M872" s="23"/>
      <c r="N872" s="23"/>
      <c r="O872" s="23"/>
    </row>
    <row r="873">
      <c r="B873" s="23"/>
      <c r="C873" s="23"/>
      <c r="E873" s="24"/>
      <c r="G873" s="23"/>
      <c r="H873" s="23"/>
      <c r="I873" s="23"/>
      <c r="J873" s="23"/>
      <c r="K873" s="23"/>
      <c r="L873" s="23"/>
      <c r="M873" s="23"/>
      <c r="N873" s="23"/>
      <c r="O873" s="23"/>
    </row>
    <row r="874">
      <c r="B874" s="23"/>
      <c r="C874" s="23"/>
      <c r="E874" s="24"/>
      <c r="G874" s="23"/>
      <c r="H874" s="23"/>
      <c r="I874" s="23"/>
      <c r="J874" s="23"/>
      <c r="K874" s="23"/>
      <c r="L874" s="23"/>
      <c r="M874" s="23"/>
      <c r="N874" s="23"/>
      <c r="O874" s="23"/>
    </row>
    <row r="875">
      <c r="B875" s="23"/>
      <c r="C875" s="23"/>
      <c r="E875" s="24"/>
      <c r="G875" s="23"/>
      <c r="H875" s="23"/>
      <c r="I875" s="23"/>
      <c r="J875" s="23"/>
      <c r="K875" s="23"/>
      <c r="L875" s="23"/>
      <c r="M875" s="23"/>
      <c r="N875" s="23"/>
      <c r="O875" s="23"/>
    </row>
    <row r="876">
      <c r="B876" s="23"/>
      <c r="C876" s="23"/>
      <c r="E876" s="24"/>
      <c r="G876" s="23"/>
      <c r="H876" s="23"/>
      <c r="I876" s="23"/>
      <c r="J876" s="23"/>
      <c r="K876" s="23"/>
      <c r="L876" s="23"/>
      <c r="M876" s="23"/>
      <c r="N876" s="23"/>
      <c r="O876" s="23"/>
    </row>
    <row r="877">
      <c r="B877" s="23"/>
      <c r="C877" s="23"/>
      <c r="E877" s="24"/>
      <c r="G877" s="23"/>
      <c r="H877" s="23"/>
      <c r="I877" s="23"/>
      <c r="J877" s="23"/>
      <c r="K877" s="23"/>
      <c r="L877" s="23"/>
      <c r="M877" s="23"/>
      <c r="N877" s="23"/>
      <c r="O877" s="23"/>
    </row>
    <row r="878">
      <c r="B878" s="23"/>
      <c r="C878" s="23"/>
      <c r="E878" s="24"/>
      <c r="G878" s="23"/>
      <c r="H878" s="23"/>
      <c r="I878" s="23"/>
      <c r="J878" s="23"/>
      <c r="K878" s="23"/>
      <c r="L878" s="23"/>
      <c r="M878" s="23"/>
      <c r="N878" s="23"/>
      <c r="O878" s="23"/>
    </row>
    <row r="879">
      <c r="B879" s="23"/>
      <c r="C879" s="23"/>
      <c r="E879" s="24"/>
      <c r="G879" s="23"/>
      <c r="H879" s="23"/>
      <c r="I879" s="23"/>
      <c r="J879" s="23"/>
      <c r="K879" s="23"/>
      <c r="L879" s="23"/>
      <c r="M879" s="23"/>
      <c r="N879" s="23"/>
      <c r="O879" s="23"/>
    </row>
    <row r="880">
      <c r="B880" s="23"/>
      <c r="C880" s="23"/>
      <c r="E880" s="24"/>
      <c r="G880" s="23"/>
      <c r="H880" s="23"/>
      <c r="I880" s="23"/>
      <c r="J880" s="23"/>
      <c r="K880" s="23"/>
      <c r="L880" s="23"/>
      <c r="M880" s="23"/>
      <c r="N880" s="23"/>
      <c r="O880" s="23"/>
    </row>
    <row r="881">
      <c r="B881" s="23"/>
      <c r="C881" s="23"/>
      <c r="E881" s="24"/>
      <c r="G881" s="23"/>
      <c r="H881" s="23"/>
      <c r="I881" s="23"/>
      <c r="J881" s="23"/>
      <c r="K881" s="23"/>
      <c r="L881" s="23"/>
      <c r="M881" s="23"/>
      <c r="N881" s="23"/>
      <c r="O881" s="23"/>
    </row>
    <row r="882">
      <c r="B882" s="23"/>
      <c r="C882" s="23"/>
      <c r="E882" s="24"/>
      <c r="G882" s="23"/>
      <c r="H882" s="23"/>
      <c r="I882" s="23"/>
      <c r="J882" s="23"/>
      <c r="K882" s="23"/>
      <c r="L882" s="23"/>
      <c r="M882" s="23"/>
      <c r="N882" s="23"/>
      <c r="O882" s="23"/>
    </row>
    <row r="883">
      <c r="B883" s="23"/>
      <c r="C883" s="23"/>
      <c r="E883" s="24"/>
      <c r="G883" s="23"/>
      <c r="H883" s="23"/>
      <c r="I883" s="23"/>
      <c r="J883" s="23"/>
      <c r="K883" s="23"/>
      <c r="L883" s="23"/>
      <c r="M883" s="23"/>
      <c r="N883" s="23"/>
      <c r="O883" s="23"/>
    </row>
    <row r="884">
      <c r="B884" s="23"/>
      <c r="C884" s="23"/>
      <c r="E884" s="24"/>
      <c r="G884" s="23"/>
      <c r="H884" s="23"/>
      <c r="I884" s="23"/>
      <c r="J884" s="23"/>
      <c r="K884" s="23"/>
      <c r="L884" s="23"/>
      <c r="M884" s="23"/>
      <c r="N884" s="23"/>
      <c r="O884" s="23"/>
    </row>
    <row r="885">
      <c r="B885" s="23"/>
      <c r="C885" s="23"/>
      <c r="E885" s="24"/>
      <c r="G885" s="23"/>
      <c r="H885" s="23"/>
      <c r="I885" s="23"/>
      <c r="J885" s="23"/>
      <c r="K885" s="23"/>
      <c r="L885" s="23"/>
      <c r="M885" s="23"/>
      <c r="N885" s="23"/>
      <c r="O885" s="23"/>
    </row>
    <row r="886">
      <c r="B886" s="23"/>
      <c r="C886" s="23"/>
      <c r="E886" s="24"/>
      <c r="G886" s="23"/>
      <c r="H886" s="23"/>
      <c r="I886" s="23"/>
      <c r="J886" s="23"/>
      <c r="K886" s="23"/>
      <c r="L886" s="23"/>
      <c r="M886" s="23"/>
      <c r="N886" s="23"/>
      <c r="O886" s="23"/>
    </row>
    <row r="887">
      <c r="B887" s="23"/>
      <c r="C887" s="23"/>
      <c r="E887" s="24"/>
      <c r="G887" s="23"/>
      <c r="H887" s="23"/>
      <c r="I887" s="23"/>
      <c r="J887" s="23"/>
      <c r="K887" s="23"/>
      <c r="L887" s="23"/>
      <c r="M887" s="23"/>
      <c r="N887" s="23"/>
      <c r="O887" s="23"/>
    </row>
    <row r="888">
      <c r="B888" s="23"/>
      <c r="C888" s="23"/>
      <c r="E888" s="24"/>
      <c r="G888" s="23"/>
      <c r="H888" s="23"/>
      <c r="I888" s="23"/>
      <c r="J888" s="23"/>
      <c r="K888" s="23"/>
      <c r="L888" s="23"/>
      <c r="M888" s="23"/>
      <c r="N888" s="23"/>
      <c r="O888" s="23"/>
    </row>
    <row r="889">
      <c r="B889" s="23"/>
      <c r="C889" s="23"/>
      <c r="E889" s="24"/>
      <c r="G889" s="23"/>
      <c r="H889" s="23"/>
      <c r="I889" s="23"/>
      <c r="J889" s="23"/>
      <c r="K889" s="23"/>
      <c r="L889" s="23"/>
      <c r="M889" s="23"/>
      <c r="N889" s="23"/>
      <c r="O889" s="23"/>
    </row>
    <row r="890">
      <c r="B890" s="23"/>
      <c r="C890" s="23"/>
      <c r="E890" s="24"/>
      <c r="G890" s="23"/>
      <c r="H890" s="23"/>
      <c r="I890" s="23"/>
      <c r="J890" s="23"/>
      <c r="K890" s="23"/>
      <c r="L890" s="23"/>
      <c r="M890" s="23"/>
      <c r="N890" s="23"/>
      <c r="O890" s="23"/>
    </row>
    <row r="891">
      <c r="B891" s="23"/>
      <c r="C891" s="23"/>
      <c r="E891" s="24"/>
      <c r="G891" s="23"/>
      <c r="H891" s="23"/>
      <c r="I891" s="23"/>
      <c r="J891" s="23"/>
      <c r="K891" s="23"/>
      <c r="L891" s="23"/>
      <c r="M891" s="23"/>
      <c r="N891" s="23"/>
      <c r="O891" s="23"/>
    </row>
    <row r="892">
      <c r="B892" s="23"/>
      <c r="C892" s="23"/>
      <c r="E892" s="24"/>
      <c r="G892" s="23"/>
      <c r="H892" s="23"/>
      <c r="I892" s="23"/>
      <c r="J892" s="23"/>
      <c r="K892" s="23"/>
      <c r="L892" s="23"/>
      <c r="M892" s="23"/>
      <c r="N892" s="23"/>
      <c r="O892" s="23"/>
    </row>
    <row r="893">
      <c r="B893" s="23"/>
      <c r="C893" s="23"/>
      <c r="E893" s="24"/>
      <c r="G893" s="23"/>
      <c r="H893" s="23"/>
      <c r="I893" s="23"/>
      <c r="J893" s="23"/>
      <c r="K893" s="23"/>
      <c r="L893" s="23"/>
      <c r="M893" s="23"/>
      <c r="N893" s="23"/>
      <c r="O893" s="23"/>
    </row>
    <row r="894">
      <c r="B894" s="23"/>
      <c r="C894" s="23"/>
      <c r="E894" s="24"/>
      <c r="G894" s="23"/>
      <c r="H894" s="23"/>
      <c r="I894" s="23"/>
      <c r="J894" s="23"/>
      <c r="K894" s="23"/>
      <c r="L894" s="23"/>
      <c r="M894" s="23"/>
      <c r="N894" s="23"/>
      <c r="O894" s="23"/>
    </row>
    <row r="895">
      <c r="B895" s="23"/>
      <c r="C895" s="23"/>
      <c r="E895" s="24"/>
      <c r="G895" s="23"/>
      <c r="H895" s="23"/>
      <c r="I895" s="23"/>
      <c r="J895" s="23"/>
      <c r="K895" s="23"/>
      <c r="L895" s="23"/>
      <c r="M895" s="23"/>
      <c r="N895" s="23"/>
      <c r="O895" s="23"/>
    </row>
    <row r="896">
      <c r="B896" s="23"/>
      <c r="C896" s="23"/>
      <c r="E896" s="24"/>
      <c r="G896" s="23"/>
      <c r="H896" s="23"/>
      <c r="I896" s="23"/>
      <c r="J896" s="23"/>
      <c r="K896" s="23"/>
      <c r="L896" s="23"/>
      <c r="M896" s="23"/>
      <c r="N896" s="23"/>
      <c r="O896" s="23"/>
    </row>
    <row r="897">
      <c r="B897" s="23"/>
      <c r="C897" s="23"/>
      <c r="E897" s="24"/>
      <c r="G897" s="23"/>
      <c r="H897" s="23"/>
      <c r="I897" s="23"/>
      <c r="J897" s="23"/>
      <c r="K897" s="23"/>
      <c r="L897" s="23"/>
      <c r="M897" s="23"/>
      <c r="N897" s="23"/>
      <c r="O897" s="23"/>
    </row>
    <row r="898">
      <c r="B898" s="23"/>
      <c r="C898" s="23"/>
      <c r="E898" s="24"/>
      <c r="G898" s="23"/>
      <c r="H898" s="23"/>
      <c r="I898" s="23"/>
      <c r="J898" s="23"/>
      <c r="K898" s="23"/>
      <c r="L898" s="23"/>
      <c r="M898" s="23"/>
      <c r="N898" s="23"/>
      <c r="O898" s="23"/>
    </row>
    <row r="899">
      <c r="B899" s="23"/>
      <c r="C899" s="23"/>
      <c r="E899" s="24"/>
      <c r="G899" s="23"/>
      <c r="H899" s="23"/>
      <c r="I899" s="23"/>
      <c r="J899" s="23"/>
      <c r="K899" s="23"/>
      <c r="L899" s="23"/>
      <c r="M899" s="23"/>
      <c r="N899" s="23"/>
      <c r="O899" s="23"/>
    </row>
    <row r="900">
      <c r="B900" s="23"/>
      <c r="C900" s="23"/>
      <c r="E900" s="24"/>
      <c r="G900" s="23"/>
      <c r="H900" s="23"/>
      <c r="I900" s="23"/>
      <c r="J900" s="23"/>
      <c r="K900" s="23"/>
      <c r="L900" s="23"/>
      <c r="M900" s="23"/>
      <c r="N900" s="23"/>
      <c r="O900" s="23"/>
    </row>
    <row r="901">
      <c r="B901" s="23"/>
      <c r="C901" s="23"/>
      <c r="E901" s="24"/>
      <c r="G901" s="23"/>
      <c r="H901" s="23"/>
      <c r="I901" s="23"/>
      <c r="J901" s="23"/>
      <c r="K901" s="23"/>
      <c r="L901" s="23"/>
      <c r="M901" s="23"/>
      <c r="N901" s="23"/>
      <c r="O901" s="23"/>
    </row>
    <row r="902">
      <c r="B902" s="23"/>
      <c r="C902" s="23"/>
      <c r="E902" s="24"/>
      <c r="G902" s="23"/>
      <c r="H902" s="23"/>
      <c r="I902" s="23"/>
      <c r="J902" s="23"/>
      <c r="K902" s="23"/>
      <c r="L902" s="23"/>
      <c r="M902" s="23"/>
      <c r="N902" s="23"/>
      <c r="O902" s="23"/>
    </row>
    <row r="903">
      <c r="B903" s="23"/>
      <c r="C903" s="23"/>
      <c r="E903" s="24"/>
      <c r="G903" s="23"/>
      <c r="H903" s="23"/>
      <c r="I903" s="23"/>
      <c r="J903" s="23"/>
      <c r="K903" s="23"/>
      <c r="L903" s="23"/>
      <c r="M903" s="23"/>
      <c r="N903" s="23"/>
      <c r="O903" s="23"/>
    </row>
    <row r="904">
      <c r="B904" s="23"/>
      <c r="C904" s="23"/>
      <c r="E904" s="24"/>
      <c r="G904" s="23"/>
      <c r="H904" s="23"/>
      <c r="I904" s="23"/>
      <c r="J904" s="23"/>
      <c r="K904" s="23"/>
      <c r="L904" s="23"/>
      <c r="M904" s="23"/>
      <c r="N904" s="23"/>
      <c r="O904" s="23"/>
    </row>
    <row r="905">
      <c r="B905" s="23"/>
      <c r="C905" s="23"/>
      <c r="E905" s="24"/>
      <c r="G905" s="23"/>
      <c r="H905" s="23"/>
      <c r="I905" s="23"/>
      <c r="J905" s="23"/>
      <c r="K905" s="23"/>
      <c r="L905" s="23"/>
      <c r="M905" s="23"/>
      <c r="N905" s="23"/>
      <c r="O905" s="23"/>
    </row>
    <row r="906">
      <c r="B906" s="23"/>
      <c r="C906" s="23"/>
      <c r="E906" s="24"/>
      <c r="G906" s="23"/>
      <c r="H906" s="23"/>
      <c r="I906" s="23"/>
      <c r="J906" s="23"/>
      <c r="K906" s="23"/>
      <c r="L906" s="23"/>
      <c r="M906" s="23"/>
      <c r="N906" s="23"/>
      <c r="O906" s="23"/>
    </row>
    <row r="907">
      <c r="B907" s="23"/>
      <c r="C907" s="23"/>
      <c r="E907" s="24"/>
      <c r="G907" s="23"/>
      <c r="H907" s="23"/>
      <c r="I907" s="23"/>
      <c r="J907" s="23"/>
      <c r="K907" s="23"/>
      <c r="L907" s="23"/>
      <c r="M907" s="23"/>
      <c r="N907" s="23"/>
      <c r="O907" s="23"/>
    </row>
    <row r="908">
      <c r="B908" s="23"/>
      <c r="C908" s="23"/>
      <c r="E908" s="24"/>
      <c r="G908" s="23"/>
      <c r="H908" s="23"/>
      <c r="I908" s="23"/>
      <c r="J908" s="23"/>
      <c r="K908" s="23"/>
      <c r="L908" s="23"/>
      <c r="M908" s="23"/>
      <c r="N908" s="23"/>
      <c r="O908" s="23"/>
    </row>
    <row r="909">
      <c r="B909" s="23"/>
      <c r="C909" s="23"/>
      <c r="E909" s="24"/>
      <c r="G909" s="23"/>
      <c r="H909" s="23"/>
      <c r="I909" s="23"/>
      <c r="J909" s="23"/>
      <c r="K909" s="23"/>
      <c r="L909" s="23"/>
      <c r="M909" s="23"/>
      <c r="N909" s="23"/>
      <c r="O909" s="23"/>
    </row>
    <row r="910">
      <c r="B910" s="23"/>
      <c r="C910" s="23"/>
      <c r="E910" s="24"/>
      <c r="G910" s="23"/>
      <c r="H910" s="23"/>
      <c r="I910" s="23"/>
      <c r="J910" s="23"/>
      <c r="K910" s="23"/>
      <c r="L910" s="23"/>
      <c r="M910" s="23"/>
      <c r="N910" s="23"/>
      <c r="O910" s="23"/>
    </row>
    <row r="911">
      <c r="B911" s="23"/>
      <c r="C911" s="23"/>
      <c r="E911" s="24"/>
      <c r="G911" s="23"/>
      <c r="H911" s="23"/>
      <c r="I911" s="23"/>
      <c r="J911" s="23"/>
      <c r="K911" s="23"/>
      <c r="L911" s="23"/>
      <c r="M911" s="23"/>
      <c r="N911" s="23"/>
      <c r="O911" s="23"/>
    </row>
    <row r="912">
      <c r="B912" s="23"/>
      <c r="C912" s="23"/>
      <c r="E912" s="24"/>
      <c r="G912" s="23"/>
      <c r="H912" s="23"/>
      <c r="I912" s="23"/>
      <c r="J912" s="23"/>
      <c r="K912" s="23"/>
      <c r="L912" s="23"/>
      <c r="M912" s="23"/>
      <c r="N912" s="23"/>
      <c r="O912" s="23"/>
    </row>
    <row r="913">
      <c r="B913" s="23"/>
      <c r="C913" s="23"/>
      <c r="E913" s="24"/>
      <c r="G913" s="23"/>
      <c r="H913" s="23"/>
      <c r="I913" s="23"/>
      <c r="J913" s="23"/>
      <c r="K913" s="23"/>
      <c r="L913" s="23"/>
      <c r="M913" s="23"/>
      <c r="N913" s="23"/>
      <c r="O913" s="23"/>
    </row>
    <row r="914">
      <c r="B914" s="23"/>
      <c r="C914" s="23"/>
      <c r="E914" s="24"/>
      <c r="G914" s="23"/>
      <c r="H914" s="23"/>
      <c r="I914" s="23"/>
      <c r="J914" s="23"/>
      <c r="K914" s="23"/>
      <c r="L914" s="23"/>
      <c r="M914" s="23"/>
      <c r="N914" s="23"/>
      <c r="O914" s="23"/>
    </row>
    <row r="915">
      <c r="B915" s="23"/>
      <c r="C915" s="23"/>
      <c r="E915" s="24"/>
      <c r="G915" s="23"/>
      <c r="H915" s="23"/>
      <c r="I915" s="23"/>
      <c r="J915" s="23"/>
      <c r="K915" s="23"/>
      <c r="L915" s="23"/>
      <c r="M915" s="23"/>
      <c r="N915" s="23"/>
      <c r="O915" s="23"/>
    </row>
    <row r="916">
      <c r="B916" s="23"/>
      <c r="C916" s="23"/>
      <c r="E916" s="24"/>
      <c r="G916" s="23"/>
      <c r="H916" s="23"/>
      <c r="I916" s="23"/>
      <c r="J916" s="23"/>
      <c r="K916" s="23"/>
      <c r="L916" s="23"/>
      <c r="M916" s="23"/>
      <c r="N916" s="23"/>
      <c r="O916" s="23"/>
    </row>
    <row r="917">
      <c r="B917" s="23"/>
      <c r="C917" s="23"/>
      <c r="E917" s="24"/>
      <c r="G917" s="23"/>
      <c r="H917" s="23"/>
      <c r="I917" s="23"/>
      <c r="J917" s="23"/>
      <c r="K917" s="23"/>
      <c r="L917" s="23"/>
      <c r="M917" s="23"/>
      <c r="N917" s="23"/>
      <c r="O917" s="23"/>
    </row>
    <row r="918">
      <c r="B918" s="23"/>
      <c r="C918" s="23"/>
      <c r="E918" s="24"/>
      <c r="G918" s="23"/>
      <c r="H918" s="23"/>
      <c r="I918" s="23"/>
      <c r="J918" s="23"/>
      <c r="K918" s="23"/>
      <c r="L918" s="23"/>
      <c r="M918" s="23"/>
      <c r="N918" s="23"/>
      <c r="O918" s="23"/>
    </row>
    <row r="919">
      <c r="B919" s="23"/>
      <c r="C919" s="23"/>
      <c r="E919" s="24"/>
      <c r="G919" s="23"/>
      <c r="H919" s="23"/>
      <c r="I919" s="23"/>
      <c r="J919" s="23"/>
      <c r="K919" s="23"/>
      <c r="L919" s="23"/>
      <c r="M919" s="23"/>
      <c r="N919" s="23"/>
      <c r="O919" s="23"/>
    </row>
    <row r="920">
      <c r="B920" s="23"/>
      <c r="C920" s="23"/>
      <c r="E920" s="24"/>
      <c r="G920" s="23"/>
      <c r="H920" s="23"/>
      <c r="I920" s="23"/>
      <c r="J920" s="23"/>
      <c r="K920" s="23"/>
      <c r="L920" s="23"/>
      <c r="M920" s="23"/>
      <c r="N920" s="23"/>
      <c r="O920" s="23"/>
    </row>
    <row r="921">
      <c r="B921" s="23"/>
      <c r="C921" s="23"/>
      <c r="E921" s="24"/>
      <c r="G921" s="23"/>
      <c r="H921" s="23"/>
      <c r="I921" s="23"/>
      <c r="J921" s="23"/>
      <c r="K921" s="23"/>
      <c r="L921" s="23"/>
      <c r="M921" s="23"/>
      <c r="N921" s="23"/>
      <c r="O921" s="23"/>
    </row>
    <row r="922">
      <c r="B922" s="23"/>
      <c r="C922" s="23"/>
      <c r="E922" s="24"/>
      <c r="G922" s="23"/>
      <c r="H922" s="23"/>
      <c r="I922" s="23"/>
      <c r="J922" s="23"/>
      <c r="K922" s="23"/>
      <c r="L922" s="23"/>
      <c r="M922" s="23"/>
      <c r="N922" s="23"/>
      <c r="O922" s="23"/>
    </row>
    <row r="923">
      <c r="B923" s="23"/>
      <c r="C923" s="23"/>
      <c r="E923" s="24"/>
      <c r="G923" s="23"/>
      <c r="H923" s="23"/>
      <c r="I923" s="23"/>
      <c r="J923" s="23"/>
      <c r="K923" s="23"/>
      <c r="L923" s="23"/>
      <c r="M923" s="23"/>
      <c r="N923" s="23"/>
      <c r="O923" s="23"/>
    </row>
    <row r="924">
      <c r="B924" s="23"/>
      <c r="C924" s="23"/>
      <c r="E924" s="24"/>
      <c r="G924" s="23"/>
      <c r="H924" s="23"/>
      <c r="I924" s="23"/>
      <c r="J924" s="23"/>
      <c r="K924" s="23"/>
      <c r="L924" s="23"/>
      <c r="M924" s="23"/>
      <c r="N924" s="23"/>
      <c r="O924" s="23"/>
    </row>
    <row r="925">
      <c r="B925" s="23"/>
      <c r="C925" s="23"/>
      <c r="E925" s="24"/>
      <c r="G925" s="23"/>
      <c r="H925" s="23"/>
      <c r="I925" s="23"/>
      <c r="J925" s="23"/>
      <c r="K925" s="23"/>
      <c r="L925" s="23"/>
      <c r="M925" s="23"/>
      <c r="N925" s="23"/>
      <c r="O925" s="23"/>
    </row>
    <row r="926">
      <c r="B926" s="23"/>
      <c r="C926" s="23"/>
      <c r="E926" s="24"/>
      <c r="G926" s="23"/>
      <c r="H926" s="23"/>
      <c r="I926" s="23"/>
      <c r="J926" s="23"/>
      <c r="K926" s="23"/>
      <c r="L926" s="23"/>
      <c r="M926" s="23"/>
      <c r="N926" s="23"/>
      <c r="O926" s="23"/>
    </row>
    <row r="927">
      <c r="B927" s="23"/>
      <c r="C927" s="23"/>
      <c r="E927" s="24"/>
      <c r="G927" s="23"/>
      <c r="H927" s="23"/>
      <c r="I927" s="23"/>
      <c r="J927" s="23"/>
      <c r="K927" s="23"/>
      <c r="L927" s="23"/>
      <c r="M927" s="23"/>
      <c r="N927" s="23"/>
      <c r="O927" s="23"/>
    </row>
    <row r="928">
      <c r="B928" s="23"/>
      <c r="C928" s="23"/>
      <c r="E928" s="24"/>
      <c r="G928" s="23"/>
      <c r="H928" s="23"/>
      <c r="I928" s="23"/>
      <c r="J928" s="23"/>
      <c r="K928" s="23"/>
      <c r="L928" s="23"/>
      <c r="M928" s="23"/>
      <c r="N928" s="23"/>
      <c r="O928" s="23"/>
    </row>
    <row r="929">
      <c r="B929" s="23"/>
      <c r="C929" s="23"/>
      <c r="E929" s="24"/>
      <c r="G929" s="23"/>
      <c r="H929" s="23"/>
      <c r="I929" s="23"/>
      <c r="J929" s="23"/>
      <c r="K929" s="23"/>
      <c r="L929" s="23"/>
      <c r="M929" s="23"/>
      <c r="N929" s="23"/>
      <c r="O929" s="23"/>
    </row>
    <row r="930">
      <c r="B930" s="23"/>
      <c r="C930" s="23"/>
      <c r="E930" s="24"/>
      <c r="G930" s="23"/>
      <c r="H930" s="23"/>
      <c r="I930" s="23"/>
      <c r="J930" s="23"/>
      <c r="K930" s="23"/>
      <c r="L930" s="23"/>
      <c r="M930" s="23"/>
      <c r="N930" s="23"/>
      <c r="O930" s="23"/>
    </row>
    <row r="931">
      <c r="B931" s="23"/>
      <c r="C931" s="23"/>
      <c r="E931" s="24"/>
      <c r="G931" s="23"/>
      <c r="H931" s="23"/>
      <c r="I931" s="23"/>
      <c r="J931" s="23"/>
      <c r="K931" s="23"/>
      <c r="L931" s="23"/>
      <c r="M931" s="23"/>
      <c r="N931" s="23"/>
      <c r="O931" s="23"/>
    </row>
    <row r="932">
      <c r="B932" s="23"/>
      <c r="C932" s="23"/>
      <c r="E932" s="24"/>
      <c r="G932" s="23"/>
      <c r="H932" s="23"/>
      <c r="I932" s="23"/>
      <c r="J932" s="23"/>
      <c r="K932" s="23"/>
      <c r="L932" s="23"/>
      <c r="M932" s="23"/>
      <c r="N932" s="23"/>
      <c r="O932" s="23"/>
    </row>
    <row r="933">
      <c r="B933" s="23"/>
      <c r="C933" s="23"/>
      <c r="E933" s="24"/>
      <c r="G933" s="23"/>
      <c r="H933" s="23"/>
      <c r="I933" s="23"/>
      <c r="J933" s="23"/>
      <c r="K933" s="23"/>
      <c r="L933" s="23"/>
      <c r="M933" s="23"/>
      <c r="N933" s="23"/>
      <c r="O933" s="23"/>
    </row>
    <row r="934">
      <c r="B934" s="23"/>
      <c r="C934" s="23"/>
      <c r="E934" s="24"/>
      <c r="G934" s="23"/>
      <c r="H934" s="23"/>
      <c r="I934" s="23"/>
      <c r="J934" s="23"/>
      <c r="K934" s="23"/>
      <c r="L934" s="23"/>
      <c r="M934" s="23"/>
      <c r="N934" s="23"/>
      <c r="O934" s="23"/>
    </row>
    <row r="935">
      <c r="B935" s="23"/>
      <c r="C935" s="23"/>
      <c r="E935" s="24"/>
      <c r="G935" s="23"/>
      <c r="H935" s="23"/>
      <c r="I935" s="23"/>
      <c r="J935" s="23"/>
      <c r="K935" s="23"/>
      <c r="L935" s="23"/>
      <c r="M935" s="23"/>
      <c r="N935" s="23"/>
      <c r="O935" s="23"/>
    </row>
    <row r="936">
      <c r="B936" s="23"/>
      <c r="C936" s="23"/>
      <c r="E936" s="24"/>
      <c r="G936" s="23"/>
      <c r="H936" s="23"/>
      <c r="I936" s="23"/>
      <c r="J936" s="23"/>
      <c r="K936" s="23"/>
      <c r="L936" s="23"/>
      <c r="M936" s="23"/>
      <c r="N936" s="23"/>
      <c r="O936" s="23"/>
    </row>
    <row r="937">
      <c r="B937" s="23"/>
      <c r="C937" s="23"/>
      <c r="E937" s="24"/>
      <c r="G937" s="23"/>
      <c r="H937" s="23"/>
      <c r="I937" s="23"/>
      <c r="J937" s="23"/>
      <c r="K937" s="23"/>
      <c r="L937" s="23"/>
      <c r="M937" s="23"/>
      <c r="N937" s="23"/>
      <c r="O937" s="23"/>
    </row>
    <row r="938">
      <c r="B938" s="23"/>
      <c r="C938" s="23"/>
      <c r="E938" s="24"/>
      <c r="G938" s="23"/>
      <c r="H938" s="23"/>
      <c r="I938" s="23"/>
      <c r="J938" s="23"/>
      <c r="K938" s="23"/>
      <c r="L938" s="23"/>
      <c r="M938" s="23"/>
      <c r="N938" s="23"/>
      <c r="O938" s="23"/>
    </row>
    <row r="939">
      <c r="B939" s="23"/>
      <c r="C939" s="23"/>
      <c r="E939" s="24"/>
      <c r="G939" s="23"/>
      <c r="H939" s="23"/>
      <c r="I939" s="23"/>
      <c r="J939" s="23"/>
      <c r="K939" s="23"/>
      <c r="L939" s="23"/>
      <c r="M939" s="23"/>
      <c r="N939" s="23"/>
      <c r="O939" s="23"/>
    </row>
    <row r="940">
      <c r="B940" s="23"/>
      <c r="C940" s="23"/>
      <c r="E940" s="24"/>
      <c r="G940" s="23"/>
      <c r="H940" s="23"/>
      <c r="I940" s="23"/>
      <c r="J940" s="23"/>
      <c r="K940" s="23"/>
      <c r="L940" s="23"/>
      <c r="M940" s="23"/>
      <c r="N940" s="23"/>
      <c r="O940" s="23"/>
    </row>
    <row r="941">
      <c r="B941" s="23"/>
      <c r="C941" s="23"/>
      <c r="E941" s="24"/>
      <c r="G941" s="23"/>
      <c r="H941" s="23"/>
      <c r="I941" s="23"/>
      <c r="J941" s="23"/>
      <c r="K941" s="23"/>
      <c r="L941" s="23"/>
      <c r="M941" s="23"/>
      <c r="N941" s="23"/>
      <c r="O941" s="23"/>
    </row>
    <row r="942">
      <c r="B942" s="23"/>
      <c r="C942" s="23"/>
      <c r="E942" s="24"/>
      <c r="G942" s="23"/>
      <c r="H942" s="23"/>
      <c r="I942" s="23"/>
      <c r="J942" s="23"/>
      <c r="K942" s="23"/>
      <c r="L942" s="23"/>
      <c r="M942" s="23"/>
      <c r="N942" s="23"/>
      <c r="O942" s="23"/>
    </row>
    <row r="943">
      <c r="B943" s="23"/>
      <c r="C943" s="23"/>
      <c r="E943" s="24"/>
      <c r="G943" s="23"/>
      <c r="H943" s="23"/>
      <c r="I943" s="23"/>
      <c r="J943" s="23"/>
      <c r="K943" s="23"/>
      <c r="L943" s="23"/>
      <c r="M943" s="23"/>
      <c r="N943" s="23"/>
      <c r="O943" s="23"/>
    </row>
    <row r="944">
      <c r="B944" s="23"/>
      <c r="C944" s="23"/>
      <c r="E944" s="24"/>
      <c r="G944" s="23"/>
      <c r="H944" s="23"/>
      <c r="I944" s="23"/>
      <c r="J944" s="23"/>
      <c r="K944" s="23"/>
      <c r="L944" s="23"/>
      <c r="M944" s="23"/>
      <c r="N944" s="23"/>
      <c r="O944" s="23"/>
    </row>
    <row r="945">
      <c r="B945" s="23"/>
      <c r="C945" s="23"/>
      <c r="E945" s="24"/>
      <c r="G945" s="23"/>
      <c r="H945" s="23"/>
      <c r="I945" s="23"/>
      <c r="J945" s="23"/>
      <c r="K945" s="23"/>
      <c r="L945" s="23"/>
      <c r="M945" s="23"/>
      <c r="N945" s="23"/>
      <c r="O945" s="23"/>
    </row>
    <row r="946">
      <c r="B946" s="23"/>
      <c r="C946" s="23"/>
      <c r="E946" s="24"/>
      <c r="G946" s="23"/>
      <c r="H946" s="23"/>
      <c r="I946" s="23"/>
      <c r="J946" s="23"/>
      <c r="K946" s="23"/>
      <c r="L946" s="23"/>
      <c r="M946" s="23"/>
      <c r="N946" s="23"/>
      <c r="O946" s="23"/>
    </row>
    <row r="947">
      <c r="B947" s="23"/>
      <c r="C947" s="23"/>
      <c r="E947" s="24"/>
      <c r="G947" s="23"/>
      <c r="H947" s="23"/>
      <c r="I947" s="23"/>
      <c r="J947" s="23"/>
      <c r="K947" s="23"/>
      <c r="L947" s="23"/>
      <c r="M947" s="23"/>
      <c r="N947" s="23"/>
      <c r="O947" s="23"/>
    </row>
    <row r="948">
      <c r="B948" s="23"/>
      <c r="C948" s="23"/>
      <c r="E948" s="24"/>
      <c r="G948" s="23"/>
      <c r="H948" s="23"/>
      <c r="I948" s="23"/>
      <c r="J948" s="23"/>
      <c r="K948" s="23"/>
      <c r="L948" s="23"/>
      <c r="M948" s="23"/>
      <c r="N948" s="23"/>
      <c r="O948" s="23"/>
    </row>
    <row r="949">
      <c r="B949" s="23"/>
      <c r="C949" s="23"/>
      <c r="E949" s="24"/>
      <c r="G949" s="23"/>
      <c r="H949" s="23"/>
      <c r="I949" s="23"/>
      <c r="J949" s="23"/>
      <c r="K949" s="23"/>
      <c r="L949" s="23"/>
      <c r="M949" s="23"/>
      <c r="N949" s="23"/>
      <c r="O949" s="23"/>
    </row>
    <row r="950">
      <c r="B950" s="23"/>
      <c r="C950" s="23"/>
      <c r="E950" s="24"/>
      <c r="G950" s="23"/>
      <c r="H950" s="23"/>
      <c r="I950" s="23"/>
      <c r="J950" s="23"/>
      <c r="K950" s="23"/>
      <c r="L950" s="23"/>
      <c r="M950" s="23"/>
      <c r="N950" s="23"/>
      <c r="O950" s="23"/>
    </row>
    <row r="951">
      <c r="B951" s="23"/>
      <c r="C951" s="23"/>
      <c r="E951" s="24"/>
      <c r="G951" s="23"/>
      <c r="H951" s="23"/>
      <c r="I951" s="23"/>
      <c r="J951" s="23"/>
      <c r="K951" s="23"/>
      <c r="L951" s="23"/>
      <c r="M951" s="23"/>
      <c r="N951" s="23"/>
      <c r="O951" s="23"/>
    </row>
    <row r="952">
      <c r="B952" s="23"/>
      <c r="C952" s="23"/>
      <c r="E952" s="24"/>
      <c r="G952" s="23"/>
      <c r="H952" s="23"/>
      <c r="I952" s="23"/>
      <c r="J952" s="23"/>
      <c r="K952" s="23"/>
      <c r="L952" s="23"/>
      <c r="M952" s="23"/>
      <c r="N952" s="23"/>
      <c r="O952" s="23"/>
    </row>
    <row r="953">
      <c r="B953" s="23"/>
      <c r="C953" s="23"/>
      <c r="E953" s="24"/>
      <c r="G953" s="23"/>
      <c r="H953" s="23"/>
      <c r="I953" s="23"/>
      <c r="J953" s="23"/>
      <c r="K953" s="23"/>
      <c r="L953" s="23"/>
      <c r="M953" s="23"/>
      <c r="N953" s="23"/>
      <c r="O953" s="23"/>
    </row>
    <row r="954">
      <c r="B954" s="23"/>
      <c r="C954" s="23"/>
      <c r="E954" s="24"/>
      <c r="G954" s="23"/>
      <c r="H954" s="23"/>
      <c r="I954" s="23"/>
      <c r="J954" s="23"/>
      <c r="K954" s="23"/>
      <c r="L954" s="23"/>
      <c r="M954" s="23"/>
      <c r="N954" s="23"/>
      <c r="O954" s="23"/>
    </row>
    <row r="955">
      <c r="B955" s="23"/>
      <c r="C955" s="23"/>
      <c r="E955" s="24"/>
      <c r="G955" s="23"/>
      <c r="H955" s="23"/>
      <c r="I955" s="23"/>
      <c r="J955" s="23"/>
      <c r="K955" s="23"/>
      <c r="L955" s="23"/>
      <c r="M955" s="23"/>
      <c r="N955" s="23"/>
      <c r="O955" s="23"/>
    </row>
    <row r="956">
      <c r="B956" s="23"/>
      <c r="C956" s="23"/>
      <c r="E956" s="24"/>
      <c r="G956" s="23"/>
      <c r="H956" s="23"/>
      <c r="I956" s="23"/>
      <c r="J956" s="23"/>
      <c r="K956" s="23"/>
      <c r="L956" s="23"/>
      <c r="M956" s="23"/>
      <c r="N956" s="23"/>
      <c r="O956" s="23"/>
    </row>
    <row r="957">
      <c r="B957" s="23"/>
      <c r="C957" s="23"/>
      <c r="E957" s="24"/>
      <c r="G957" s="23"/>
      <c r="H957" s="23"/>
      <c r="I957" s="23"/>
      <c r="J957" s="23"/>
      <c r="K957" s="23"/>
      <c r="L957" s="23"/>
      <c r="M957" s="23"/>
      <c r="N957" s="23"/>
      <c r="O957" s="23"/>
    </row>
    <row r="958">
      <c r="B958" s="23"/>
      <c r="C958" s="23"/>
      <c r="E958" s="24"/>
      <c r="G958" s="23"/>
      <c r="H958" s="23"/>
      <c r="I958" s="23"/>
      <c r="J958" s="23"/>
      <c r="K958" s="23"/>
      <c r="L958" s="23"/>
      <c r="M958" s="23"/>
      <c r="N958" s="23"/>
      <c r="O958" s="23"/>
    </row>
    <row r="959">
      <c r="B959" s="23"/>
      <c r="C959" s="23"/>
      <c r="E959" s="24"/>
      <c r="G959" s="23"/>
      <c r="H959" s="23"/>
      <c r="I959" s="23"/>
      <c r="J959" s="23"/>
      <c r="K959" s="23"/>
      <c r="L959" s="23"/>
      <c r="M959" s="23"/>
      <c r="N959" s="23"/>
      <c r="O959" s="23"/>
    </row>
    <row r="960">
      <c r="B960" s="23"/>
      <c r="C960" s="23"/>
      <c r="E960" s="24"/>
      <c r="G960" s="23"/>
      <c r="H960" s="23"/>
      <c r="I960" s="23"/>
      <c r="J960" s="23"/>
      <c r="K960" s="23"/>
      <c r="L960" s="23"/>
      <c r="M960" s="23"/>
      <c r="N960" s="23"/>
      <c r="O960" s="23"/>
    </row>
    <row r="961">
      <c r="B961" s="23"/>
      <c r="C961" s="23"/>
      <c r="E961" s="24"/>
      <c r="G961" s="23"/>
      <c r="H961" s="23"/>
      <c r="I961" s="23"/>
      <c r="J961" s="23"/>
      <c r="K961" s="23"/>
      <c r="L961" s="23"/>
      <c r="M961" s="23"/>
      <c r="N961" s="23"/>
      <c r="O961" s="23"/>
    </row>
    <row r="962">
      <c r="B962" s="23"/>
      <c r="C962" s="23"/>
      <c r="E962" s="24"/>
      <c r="G962" s="23"/>
      <c r="H962" s="23"/>
      <c r="I962" s="23"/>
      <c r="J962" s="23"/>
      <c r="K962" s="23"/>
      <c r="L962" s="23"/>
      <c r="M962" s="23"/>
      <c r="N962" s="23"/>
      <c r="O962" s="23"/>
    </row>
    <row r="963">
      <c r="B963" s="23"/>
      <c r="C963" s="23"/>
      <c r="E963" s="24"/>
      <c r="G963" s="23"/>
      <c r="H963" s="23"/>
      <c r="I963" s="23"/>
      <c r="J963" s="23"/>
      <c r="K963" s="23"/>
      <c r="L963" s="23"/>
      <c r="M963" s="23"/>
      <c r="N963" s="23"/>
      <c r="O963" s="23"/>
    </row>
    <row r="964">
      <c r="B964" s="23"/>
      <c r="C964" s="23"/>
      <c r="E964" s="24"/>
      <c r="G964" s="23"/>
      <c r="H964" s="23"/>
      <c r="I964" s="23"/>
      <c r="J964" s="23"/>
      <c r="K964" s="23"/>
      <c r="L964" s="23"/>
      <c r="M964" s="23"/>
      <c r="N964" s="23"/>
      <c r="O964" s="23"/>
    </row>
    <row r="965">
      <c r="B965" s="23"/>
      <c r="C965" s="23"/>
      <c r="E965" s="24"/>
      <c r="G965" s="23"/>
      <c r="H965" s="23"/>
      <c r="I965" s="23"/>
      <c r="J965" s="23"/>
      <c r="K965" s="23"/>
      <c r="L965" s="23"/>
      <c r="M965" s="23"/>
      <c r="N965" s="23"/>
      <c r="O965" s="23"/>
    </row>
    <row r="966">
      <c r="B966" s="23"/>
      <c r="C966" s="23"/>
      <c r="E966" s="24"/>
      <c r="G966" s="23"/>
      <c r="H966" s="23"/>
      <c r="I966" s="23"/>
      <c r="J966" s="23"/>
      <c r="K966" s="23"/>
      <c r="L966" s="23"/>
      <c r="M966" s="23"/>
      <c r="N966" s="23"/>
      <c r="O966" s="23"/>
    </row>
    <row r="967">
      <c r="B967" s="23"/>
      <c r="C967" s="23"/>
      <c r="E967" s="24"/>
      <c r="G967" s="23"/>
      <c r="H967" s="23"/>
      <c r="I967" s="23"/>
      <c r="J967" s="23"/>
      <c r="K967" s="23"/>
      <c r="L967" s="23"/>
      <c r="M967" s="23"/>
      <c r="N967" s="23"/>
      <c r="O967" s="23"/>
    </row>
    <row r="968">
      <c r="B968" s="23"/>
      <c r="C968" s="23"/>
      <c r="E968" s="24"/>
      <c r="G968" s="23"/>
      <c r="H968" s="23"/>
      <c r="I968" s="23"/>
      <c r="J968" s="23"/>
      <c r="K968" s="23"/>
      <c r="L968" s="23"/>
      <c r="M968" s="23"/>
      <c r="N968" s="23"/>
      <c r="O968" s="23"/>
    </row>
    <row r="969">
      <c r="B969" s="23"/>
      <c r="C969" s="23"/>
      <c r="E969" s="24"/>
      <c r="G969" s="23"/>
      <c r="H969" s="23"/>
      <c r="I969" s="23"/>
      <c r="J969" s="23"/>
      <c r="K969" s="23"/>
      <c r="L969" s="23"/>
      <c r="M969" s="23"/>
      <c r="N969" s="23"/>
      <c r="O969" s="23"/>
    </row>
    <row r="970">
      <c r="B970" s="23"/>
      <c r="C970" s="23"/>
      <c r="E970" s="24"/>
      <c r="G970" s="23"/>
      <c r="H970" s="23"/>
      <c r="I970" s="23"/>
      <c r="J970" s="23"/>
      <c r="K970" s="23"/>
      <c r="L970" s="23"/>
      <c r="M970" s="23"/>
      <c r="N970" s="23"/>
      <c r="O970" s="23"/>
    </row>
    <row r="971">
      <c r="B971" s="23"/>
      <c r="C971" s="23"/>
      <c r="E971" s="24"/>
      <c r="G971" s="23"/>
      <c r="H971" s="23"/>
      <c r="I971" s="23"/>
      <c r="J971" s="23"/>
      <c r="K971" s="23"/>
      <c r="L971" s="23"/>
      <c r="M971" s="23"/>
      <c r="N971" s="23"/>
      <c r="O971" s="23"/>
    </row>
    <row r="972">
      <c r="B972" s="23"/>
      <c r="C972" s="23"/>
      <c r="E972" s="24"/>
      <c r="G972" s="23"/>
      <c r="H972" s="23"/>
      <c r="I972" s="23"/>
      <c r="J972" s="23"/>
      <c r="K972" s="23"/>
      <c r="L972" s="23"/>
      <c r="M972" s="23"/>
      <c r="N972" s="23"/>
      <c r="O972" s="23"/>
    </row>
    <row r="973">
      <c r="B973" s="23"/>
      <c r="C973" s="23"/>
      <c r="E973" s="24"/>
      <c r="G973" s="23"/>
      <c r="H973" s="23"/>
      <c r="I973" s="23"/>
      <c r="J973" s="23"/>
      <c r="K973" s="23"/>
      <c r="L973" s="23"/>
      <c r="M973" s="23"/>
      <c r="N973" s="23"/>
      <c r="O973" s="23"/>
    </row>
    <row r="974">
      <c r="B974" s="23"/>
      <c r="C974" s="23"/>
      <c r="E974" s="24"/>
      <c r="G974" s="23"/>
      <c r="H974" s="23"/>
      <c r="I974" s="23"/>
      <c r="J974" s="23"/>
      <c r="K974" s="23"/>
      <c r="L974" s="23"/>
      <c r="M974" s="23"/>
      <c r="N974" s="23"/>
      <c r="O974" s="23"/>
    </row>
    <row r="975">
      <c r="B975" s="23"/>
      <c r="C975" s="23"/>
      <c r="E975" s="24"/>
      <c r="G975" s="23"/>
      <c r="H975" s="23"/>
      <c r="I975" s="23"/>
      <c r="J975" s="23"/>
      <c r="K975" s="23"/>
      <c r="L975" s="23"/>
      <c r="M975" s="23"/>
      <c r="N975" s="23"/>
      <c r="O975" s="23"/>
    </row>
    <row r="976">
      <c r="B976" s="23"/>
      <c r="C976" s="23"/>
      <c r="E976" s="24"/>
      <c r="G976" s="23"/>
      <c r="H976" s="23"/>
      <c r="I976" s="23"/>
      <c r="J976" s="23"/>
      <c r="K976" s="23"/>
      <c r="L976" s="23"/>
      <c r="M976" s="23"/>
      <c r="N976" s="23"/>
      <c r="O976" s="23"/>
    </row>
    <row r="977">
      <c r="B977" s="23"/>
      <c r="C977" s="23"/>
      <c r="E977" s="24"/>
      <c r="G977" s="23"/>
      <c r="H977" s="23"/>
      <c r="I977" s="23"/>
      <c r="J977" s="23"/>
      <c r="K977" s="23"/>
      <c r="L977" s="23"/>
      <c r="M977" s="23"/>
      <c r="N977" s="23"/>
      <c r="O977" s="23"/>
    </row>
    <row r="978">
      <c r="B978" s="23"/>
      <c r="C978" s="23"/>
      <c r="E978" s="24"/>
      <c r="G978" s="23"/>
      <c r="H978" s="23"/>
      <c r="I978" s="23"/>
      <c r="J978" s="23"/>
      <c r="K978" s="23"/>
      <c r="L978" s="23"/>
      <c r="M978" s="23"/>
      <c r="N978" s="23"/>
      <c r="O978" s="23"/>
    </row>
    <row r="979">
      <c r="B979" s="23"/>
      <c r="C979" s="23"/>
      <c r="E979" s="24"/>
      <c r="G979" s="23"/>
      <c r="H979" s="23"/>
      <c r="I979" s="23"/>
      <c r="J979" s="23"/>
      <c r="K979" s="23"/>
      <c r="L979" s="23"/>
      <c r="M979" s="23"/>
      <c r="N979" s="23"/>
      <c r="O979" s="23"/>
    </row>
    <row r="980">
      <c r="B980" s="23"/>
      <c r="C980" s="23"/>
      <c r="E980" s="24"/>
      <c r="G980" s="23"/>
      <c r="H980" s="23"/>
      <c r="I980" s="23"/>
      <c r="J980" s="23"/>
      <c r="K980" s="23"/>
      <c r="L980" s="23"/>
      <c r="M980" s="23"/>
      <c r="N980" s="23"/>
      <c r="O980" s="23"/>
    </row>
    <row r="981">
      <c r="B981" s="23"/>
      <c r="C981" s="23"/>
      <c r="E981" s="24"/>
      <c r="G981" s="23"/>
      <c r="H981" s="23"/>
      <c r="I981" s="23"/>
      <c r="J981" s="23"/>
      <c r="K981" s="23"/>
      <c r="L981" s="23"/>
      <c r="M981" s="23"/>
      <c r="N981" s="23"/>
      <c r="O981" s="23"/>
    </row>
    <row r="982">
      <c r="B982" s="23"/>
      <c r="C982" s="23"/>
      <c r="E982" s="24"/>
      <c r="G982" s="23"/>
      <c r="H982" s="23"/>
      <c r="I982" s="23"/>
      <c r="J982" s="23"/>
      <c r="K982" s="23"/>
      <c r="L982" s="23"/>
      <c r="M982" s="23"/>
      <c r="N982" s="23"/>
      <c r="O982" s="23"/>
    </row>
    <row r="983">
      <c r="B983" s="23"/>
      <c r="C983" s="23"/>
      <c r="E983" s="24"/>
      <c r="G983" s="23"/>
      <c r="H983" s="23"/>
      <c r="I983" s="23"/>
      <c r="J983" s="23"/>
      <c r="K983" s="23"/>
      <c r="L983" s="23"/>
      <c r="M983" s="23"/>
      <c r="N983" s="23"/>
      <c r="O983" s="23"/>
    </row>
    <row r="984">
      <c r="B984" s="23"/>
      <c r="C984" s="23"/>
      <c r="E984" s="24"/>
      <c r="G984" s="23"/>
      <c r="H984" s="23"/>
      <c r="I984" s="23"/>
      <c r="J984" s="23"/>
      <c r="K984" s="23"/>
      <c r="L984" s="23"/>
      <c r="M984" s="23"/>
      <c r="N984" s="23"/>
      <c r="O984" s="23"/>
    </row>
    <row r="985">
      <c r="B985" s="23"/>
      <c r="C985" s="23"/>
      <c r="E985" s="24"/>
      <c r="G985" s="23"/>
      <c r="H985" s="23"/>
      <c r="I985" s="23"/>
      <c r="J985" s="23"/>
      <c r="K985" s="23"/>
      <c r="L985" s="23"/>
      <c r="M985" s="23"/>
      <c r="N985" s="23"/>
      <c r="O985" s="23"/>
    </row>
    <row r="986">
      <c r="B986" s="23"/>
      <c r="C986" s="23"/>
      <c r="E986" s="24"/>
      <c r="G986" s="23"/>
      <c r="H986" s="23"/>
      <c r="I986" s="23"/>
      <c r="J986" s="23"/>
      <c r="K986" s="23"/>
      <c r="L986" s="23"/>
      <c r="M986" s="23"/>
      <c r="N986" s="23"/>
      <c r="O986" s="23"/>
    </row>
    <row r="987">
      <c r="B987" s="23"/>
      <c r="C987" s="23"/>
      <c r="E987" s="24"/>
      <c r="G987" s="23"/>
      <c r="H987" s="23"/>
      <c r="I987" s="23"/>
      <c r="J987" s="23"/>
      <c r="K987" s="23"/>
      <c r="L987" s="23"/>
      <c r="M987" s="23"/>
      <c r="N987" s="23"/>
      <c r="O987" s="23"/>
    </row>
    <row r="988">
      <c r="B988" s="23"/>
      <c r="C988" s="23"/>
      <c r="E988" s="24"/>
      <c r="G988" s="23"/>
      <c r="H988" s="23"/>
      <c r="I988" s="23"/>
      <c r="J988" s="23"/>
      <c r="K988" s="23"/>
      <c r="L988" s="23"/>
      <c r="M988" s="23"/>
      <c r="N988" s="23"/>
      <c r="O988" s="23"/>
    </row>
    <row r="989">
      <c r="B989" s="23"/>
      <c r="C989" s="23"/>
      <c r="E989" s="24"/>
      <c r="G989" s="23"/>
      <c r="H989" s="23"/>
      <c r="I989" s="23"/>
      <c r="J989" s="23"/>
      <c r="K989" s="23"/>
      <c r="L989" s="23"/>
      <c r="M989" s="23"/>
      <c r="N989" s="23"/>
      <c r="O989" s="23"/>
    </row>
    <row r="990">
      <c r="B990" s="23"/>
      <c r="C990" s="23"/>
      <c r="E990" s="24"/>
      <c r="G990" s="23"/>
      <c r="H990" s="23"/>
      <c r="I990" s="23"/>
      <c r="J990" s="23"/>
      <c r="K990" s="23"/>
      <c r="L990" s="23"/>
      <c r="M990" s="23"/>
      <c r="N990" s="23"/>
      <c r="O990" s="23"/>
    </row>
    <row r="991">
      <c r="B991" s="23"/>
      <c r="C991" s="23"/>
      <c r="E991" s="24"/>
      <c r="G991" s="23"/>
      <c r="H991" s="23"/>
      <c r="I991" s="23"/>
      <c r="J991" s="23"/>
      <c r="K991" s="23"/>
      <c r="L991" s="23"/>
      <c r="M991" s="23"/>
      <c r="N991" s="23"/>
      <c r="O991" s="23"/>
    </row>
    <row r="992">
      <c r="B992" s="23"/>
      <c r="C992" s="23"/>
      <c r="E992" s="24"/>
      <c r="G992" s="23"/>
      <c r="H992" s="23"/>
      <c r="I992" s="23"/>
      <c r="J992" s="23"/>
      <c r="K992" s="23"/>
      <c r="L992" s="23"/>
      <c r="M992" s="23"/>
      <c r="N992" s="23"/>
      <c r="O992" s="23"/>
    </row>
    <row r="993">
      <c r="B993" s="23"/>
      <c r="C993" s="23"/>
      <c r="E993" s="24"/>
      <c r="G993" s="23"/>
      <c r="H993" s="23"/>
      <c r="I993" s="23"/>
      <c r="J993" s="23"/>
      <c r="K993" s="23"/>
      <c r="L993" s="23"/>
      <c r="M993" s="23"/>
      <c r="N993" s="23"/>
      <c r="O993" s="23"/>
    </row>
    <row r="994">
      <c r="B994" s="23"/>
      <c r="C994" s="23"/>
      <c r="E994" s="24"/>
      <c r="G994" s="23"/>
      <c r="H994" s="23"/>
      <c r="I994" s="23"/>
      <c r="J994" s="23"/>
      <c r="K994" s="23"/>
      <c r="L994" s="23"/>
      <c r="M994" s="23"/>
      <c r="N994" s="23"/>
      <c r="O994" s="23"/>
    </row>
    <row r="995">
      <c r="B995" s="23"/>
      <c r="C995" s="23"/>
      <c r="E995" s="24"/>
      <c r="G995" s="23"/>
      <c r="H995" s="23"/>
      <c r="I995" s="23"/>
      <c r="J995" s="23"/>
      <c r="K995" s="23"/>
      <c r="L995" s="23"/>
      <c r="M995" s="23"/>
      <c r="N995" s="23"/>
      <c r="O995" s="23"/>
    </row>
    <row r="996">
      <c r="B996" s="23"/>
      <c r="C996" s="23"/>
      <c r="E996" s="24"/>
      <c r="G996" s="23"/>
      <c r="H996" s="23"/>
      <c r="I996" s="23"/>
      <c r="J996" s="23"/>
      <c r="K996" s="23"/>
      <c r="L996" s="23"/>
      <c r="M996" s="23"/>
      <c r="N996" s="23"/>
      <c r="O996" s="23"/>
    </row>
    <row r="997">
      <c r="B997" s="23"/>
      <c r="C997" s="23"/>
      <c r="E997" s="24"/>
      <c r="G997" s="23"/>
      <c r="H997" s="23"/>
      <c r="I997" s="23"/>
      <c r="J997" s="23"/>
      <c r="K997" s="23"/>
      <c r="L997" s="23"/>
      <c r="M997" s="23"/>
      <c r="N997" s="23"/>
      <c r="O997" s="23"/>
    </row>
    <row r="998">
      <c r="B998" s="23"/>
      <c r="C998" s="23"/>
      <c r="E998" s="24"/>
      <c r="G998" s="23"/>
      <c r="H998" s="23"/>
      <c r="I998" s="23"/>
      <c r="J998" s="23"/>
      <c r="K998" s="23"/>
      <c r="L998" s="23"/>
      <c r="M998" s="23"/>
      <c r="N998" s="23"/>
      <c r="O998" s="23"/>
    </row>
    <row r="999">
      <c r="B999" s="23"/>
      <c r="C999" s="23"/>
      <c r="E999" s="24"/>
      <c r="G999" s="23"/>
      <c r="H999" s="23"/>
      <c r="I999" s="23"/>
      <c r="J999" s="23"/>
      <c r="K999" s="23"/>
      <c r="L999" s="23"/>
      <c r="M999" s="23"/>
      <c r="N999" s="23"/>
      <c r="O999" s="23"/>
    </row>
    <row r="1000">
      <c r="B1000" s="23"/>
      <c r="C1000" s="23"/>
      <c r="E1000" s="24"/>
      <c r="G1000" s="23"/>
      <c r="H1000" s="23"/>
      <c r="I1000" s="23"/>
      <c r="J1000" s="23"/>
      <c r="K1000" s="23"/>
      <c r="L1000" s="23"/>
      <c r="M1000" s="23"/>
      <c r="N1000" s="23"/>
      <c r="O1000" s="23"/>
    </row>
    <row r="1001">
      <c r="B1001" s="23"/>
      <c r="C1001" s="23"/>
      <c r="E1001" s="24"/>
      <c r="G1001" s="23"/>
      <c r="H1001" s="23"/>
      <c r="I1001" s="23"/>
      <c r="J1001" s="23"/>
      <c r="K1001" s="23"/>
      <c r="L1001" s="23"/>
      <c r="M1001" s="23"/>
      <c r="N1001" s="23"/>
      <c r="O1001" s="23"/>
    </row>
  </sheetData>
  <mergeCells count="5">
    <mergeCell ref="H1:I1"/>
    <mergeCell ref="J1:K1"/>
    <mergeCell ref="L1:M1"/>
    <mergeCell ref="N1:O1"/>
    <mergeCell ref="Q1:S1"/>
  </mergeCells>
  <conditionalFormatting sqref="P3:P152">
    <cfRule type="colorScale" priority="1">
      <colorScale>
        <cfvo type="min"/>
        <cfvo type="percentile" val="75"/>
        <cfvo type="max"/>
        <color rgb="FFE67C73"/>
        <color rgb="FFFFFFFF"/>
        <color rgb="FFD4EDBC"/>
      </colorScale>
    </cfRule>
  </conditionalFormatting>
  <dataValidations>
    <dataValidation type="list" allowBlank="1" showErrorMessage="1" sqref="C3:C1001">
      <formula1>"zero-shot,few-shot,chain-of-thought"</formula1>
    </dataValidation>
    <dataValidation type="list" allowBlank="1" showErrorMessage="1" sqref="H3:O1001">
      <formula1>"0,0.5,1"</formula1>
    </dataValidation>
    <dataValidation type="list" allowBlank="1" showErrorMessage="1" sqref="B3:B1001">
      <formula1>"GPT-4,Claude Opus,Gemini"</formula1>
    </dataValidation>
    <dataValidation type="list" allowBlank="1" showErrorMessage="1" sqref="G2:G1001">
      <formula1>"Yes,No,Correct Diagnosis? (Y/N)"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4" max="4" width="27.63"/>
    <col customWidth="1" min="5" max="5" width="27.75"/>
    <col customWidth="1" min="6" max="6" width="21.88"/>
    <col customWidth="1" min="7" max="7" width="19.25"/>
    <col customWidth="1" min="8" max="8" width="14.5"/>
    <col customWidth="1" min="9" max="9" width="13.63"/>
    <col customWidth="1" min="10" max="10" width="14.38"/>
    <col customWidth="1" min="11" max="11" width="13.63"/>
    <col customWidth="1" min="12" max="12" width="14.25"/>
    <col customWidth="1" min="13" max="13" width="13.63"/>
    <col customWidth="1" min="14" max="14" width="14.63"/>
    <col customWidth="1" min="15" max="15" width="13.63"/>
    <col customWidth="1" min="16" max="16" width="9.13"/>
    <col customWidth="1" min="17" max="17" width="12.88"/>
    <col customWidth="1" min="18" max="18" width="15.0"/>
    <col customWidth="1" min="19" max="19" width="15.88"/>
    <col customWidth="1" min="20" max="20" width="22.38"/>
    <col customWidth="1" min="21" max="21" width="18.0"/>
    <col customWidth="1" min="22" max="22" width="20.0"/>
    <col customWidth="1" min="24" max="24" width="22.38"/>
    <col customWidth="1" min="25" max="25" width="19.38"/>
    <col customWidth="1" min="26" max="26" width="21.88"/>
    <col customWidth="1" min="27" max="27" width="18.25"/>
    <col customWidth="1" min="28" max="28" width="21.13"/>
    <col customWidth="1" min="29" max="29" width="20.88"/>
  </cols>
  <sheetData>
    <row r="1" ht="28.5" customHeight="1">
      <c r="A1" s="1" t="s">
        <v>0</v>
      </c>
      <c r="H1" s="2" t="s">
        <v>1</v>
      </c>
      <c r="J1" s="2" t="s">
        <v>2</v>
      </c>
      <c r="L1" s="2" t="s">
        <v>3</v>
      </c>
      <c r="N1" s="2" t="s">
        <v>4</v>
      </c>
      <c r="P1" s="3" t="s">
        <v>66</v>
      </c>
      <c r="Q1" s="25" t="s">
        <v>337</v>
      </c>
    </row>
    <row r="2" ht="28.5" customHeight="1">
      <c r="A2" s="3" t="s">
        <v>6</v>
      </c>
      <c r="B2" s="3" t="s">
        <v>7</v>
      </c>
      <c r="C2" s="3" t="s">
        <v>8</v>
      </c>
      <c r="D2" s="3" t="s">
        <v>9</v>
      </c>
      <c r="E2" s="5" t="s">
        <v>10</v>
      </c>
      <c r="F2" s="12" t="s">
        <v>11</v>
      </c>
      <c r="G2" s="3" t="s">
        <v>12</v>
      </c>
      <c r="H2" s="3" t="s">
        <v>338</v>
      </c>
      <c r="I2" s="3" t="s">
        <v>339</v>
      </c>
      <c r="J2" s="3" t="s">
        <v>338</v>
      </c>
      <c r="K2" s="3" t="s">
        <v>339</v>
      </c>
      <c r="L2" s="3" t="s">
        <v>338</v>
      </c>
      <c r="M2" s="3" t="s">
        <v>339</v>
      </c>
      <c r="N2" s="3" t="s">
        <v>338</v>
      </c>
      <c r="O2" s="3" t="s">
        <v>339</v>
      </c>
      <c r="P2" s="6" t="s">
        <v>15</v>
      </c>
      <c r="Q2" s="26" t="s">
        <v>340</v>
      </c>
      <c r="R2" s="27" t="s">
        <v>341</v>
      </c>
      <c r="S2" s="27" t="s">
        <v>594</v>
      </c>
      <c r="U2" s="3" t="s">
        <v>19</v>
      </c>
      <c r="V2" s="3" t="s">
        <v>20</v>
      </c>
      <c r="X2" s="28" t="s">
        <v>21</v>
      </c>
      <c r="Y2" s="28" t="s">
        <v>22</v>
      </c>
      <c r="Z2" s="28" t="s">
        <v>23</v>
      </c>
      <c r="AA2" s="28" t="s">
        <v>24</v>
      </c>
      <c r="AB2" s="28" t="s">
        <v>25</v>
      </c>
      <c r="AC2" s="28" t="s">
        <v>26</v>
      </c>
    </row>
    <row r="3" ht="87.75" customHeight="1">
      <c r="A3" s="3" t="s">
        <v>27</v>
      </c>
      <c r="B3" s="3" t="s">
        <v>45</v>
      </c>
      <c r="C3" s="3" t="s">
        <v>29</v>
      </c>
      <c r="D3" s="3" t="s">
        <v>30</v>
      </c>
      <c r="E3" s="11" t="s">
        <v>595</v>
      </c>
      <c r="F3" s="12" t="s">
        <v>596</v>
      </c>
      <c r="G3" s="10" t="s">
        <v>33</v>
      </c>
      <c r="H3" s="13">
        <v>1.0</v>
      </c>
      <c r="I3" s="13">
        <v>1.0</v>
      </c>
      <c r="J3" s="13">
        <v>1.0</v>
      </c>
      <c r="K3" s="13">
        <v>1.0</v>
      </c>
      <c r="L3" s="13">
        <v>0.5</v>
      </c>
      <c r="M3" s="13">
        <v>1.0</v>
      </c>
      <c r="N3" s="13">
        <v>1.0</v>
      </c>
      <c r="O3" s="13">
        <v>1.0</v>
      </c>
      <c r="P3" s="15">
        <f t="shared" ref="P3:P152" si="5">1-((ABS(H3-I3))+(ABS(J3-K3))+(ABS(L3-M3))+(ABS(N3-O3)))/4</f>
        <v>0.875</v>
      </c>
      <c r="Q3" s="21">
        <f>AVERAGE(P3:P52)</f>
        <v>0.9</v>
      </c>
      <c r="R3" s="21">
        <f>AVERAGE(P53:P102)</f>
        <v>0.9875</v>
      </c>
      <c r="S3" s="21">
        <f>AVERAGE(P103:P152)</f>
        <v>0.965</v>
      </c>
      <c r="U3" s="23">
        <f t="shared" ref="U3:V3" si="1">(H3+J3+L3+N3)/4</f>
        <v>0.875</v>
      </c>
      <c r="V3" s="23">
        <f t="shared" si="1"/>
        <v>1</v>
      </c>
      <c r="X3" s="32">
        <f t="shared" ref="X3:Y3" si="2">AVERAGE(U3:U52)</f>
        <v>0.9375</v>
      </c>
      <c r="Y3" s="32">
        <f t="shared" si="2"/>
        <v>0.9375</v>
      </c>
      <c r="Z3" s="32">
        <f t="shared" ref="Z3:AA3" si="3">AVERAGE(U53:U102)</f>
        <v>0.97</v>
      </c>
      <c r="AA3" s="32">
        <f t="shared" si="3"/>
        <v>0.9575</v>
      </c>
      <c r="AB3" s="32">
        <f t="shared" ref="AB3:AC3" si="4">AVERAGE(U103:U152)</f>
        <v>0.9375</v>
      </c>
      <c r="AC3" s="32">
        <f t="shared" si="4"/>
        <v>0.9475</v>
      </c>
    </row>
    <row r="4">
      <c r="A4" s="3" t="s">
        <v>35</v>
      </c>
      <c r="B4" s="3" t="s">
        <v>45</v>
      </c>
      <c r="C4" s="3" t="s">
        <v>29</v>
      </c>
      <c r="D4" s="3" t="s">
        <v>55</v>
      </c>
      <c r="E4" s="11" t="s">
        <v>597</v>
      </c>
      <c r="F4" s="12" t="s">
        <v>598</v>
      </c>
      <c r="G4" s="10" t="s">
        <v>33</v>
      </c>
      <c r="H4" s="13">
        <v>1.0</v>
      </c>
      <c r="I4" s="13">
        <v>1.0</v>
      </c>
      <c r="J4" s="13">
        <v>1.0</v>
      </c>
      <c r="K4" s="13">
        <v>1.0</v>
      </c>
      <c r="L4" s="13">
        <v>1.0</v>
      </c>
      <c r="M4" s="13">
        <v>0.0</v>
      </c>
      <c r="N4" s="13">
        <v>1.0</v>
      </c>
      <c r="O4" s="13">
        <v>0.0</v>
      </c>
      <c r="P4" s="15">
        <f t="shared" si="5"/>
        <v>0.5</v>
      </c>
      <c r="U4" s="23">
        <f t="shared" ref="U4:V4" si="6">(H4+J4+L4+N4)/4</f>
        <v>1</v>
      </c>
      <c r="V4" s="23">
        <f t="shared" si="6"/>
        <v>0.5</v>
      </c>
    </row>
    <row r="5">
      <c r="A5" s="3" t="s">
        <v>41</v>
      </c>
      <c r="B5" s="3" t="s">
        <v>45</v>
      </c>
      <c r="C5" s="3" t="s">
        <v>29</v>
      </c>
      <c r="D5" s="3" t="s">
        <v>42</v>
      </c>
      <c r="E5" s="11" t="s">
        <v>599</v>
      </c>
      <c r="F5" s="12" t="s">
        <v>600</v>
      </c>
      <c r="G5" s="10" t="s">
        <v>33</v>
      </c>
      <c r="H5" s="13">
        <v>1.0</v>
      </c>
      <c r="I5" s="13">
        <v>1.0</v>
      </c>
      <c r="J5" s="13">
        <v>1.0</v>
      </c>
      <c r="K5" s="13">
        <v>1.0</v>
      </c>
      <c r="L5" s="13">
        <v>0.5</v>
      </c>
      <c r="M5" s="13">
        <v>1.0</v>
      </c>
      <c r="N5" s="13">
        <v>1.0</v>
      </c>
      <c r="O5" s="13">
        <v>1.0</v>
      </c>
      <c r="P5" s="15">
        <f t="shared" si="5"/>
        <v>0.875</v>
      </c>
      <c r="U5" s="23">
        <f t="shared" ref="U5:V5" si="7">(H5+J5+L5+N5)/4</f>
        <v>0.875</v>
      </c>
      <c r="V5" s="23">
        <f t="shared" si="7"/>
        <v>1</v>
      </c>
    </row>
    <row r="6">
      <c r="A6" s="3" t="s">
        <v>46</v>
      </c>
      <c r="B6" s="3" t="s">
        <v>45</v>
      </c>
      <c r="C6" s="3" t="s">
        <v>29</v>
      </c>
      <c r="D6" s="3" t="s">
        <v>47</v>
      </c>
      <c r="E6" s="11" t="s">
        <v>601</v>
      </c>
      <c r="F6" s="12" t="s">
        <v>602</v>
      </c>
      <c r="G6" s="10" t="s">
        <v>33</v>
      </c>
      <c r="H6" s="13">
        <v>1.0</v>
      </c>
      <c r="I6" s="13">
        <v>1.0</v>
      </c>
      <c r="J6" s="13">
        <v>1.0</v>
      </c>
      <c r="K6" s="13">
        <v>1.0</v>
      </c>
      <c r="L6" s="13">
        <v>1.0</v>
      </c>
      <c r="M6" s="13">
        <v>1.0</v>
      </c>
      <c r="N6" s="13">
        <v>1.0</v>
      </c>
      <c r="O6" s="13">
        <v>1.0</v>
      </c>
      <c r="P6" s="15">
        <f t="shared" si="5"/>
        <v>1</v>
      </c>
      <c r="U6" s="23">
        <f t="shared" ref="U6:V6" si="8">(H6+J6+L6+N6)/4</f>
        <v>1</v>
      </c>
      <c r="V6" s="23">
        <f t="shared" si="8"/>
        <v>1</v>
      </c>
    </row>
    <row r="7">
      <c r="A7" s="3" t="s">
        <v>50</v>
      </c>
      <c r="B7" s="3" t="s">
        <v>45</v>
      </c>
      <c r="C7" s="3" t="s">
        <v>29</v>
      </c>
      <c r="D7" s="3" t="s">
        <v>51</v>
      </c>
      <c r="E7" s="11" t="s">
        <v>603</v>
      </c>
      <c r="F7" s="12" t="s">
        <v>604</v>
      </c>
      <c r="G7" s="10" t="s">
        <v>33</v>
      </c>
      <c r="H7" s="13">
        <v>1.0</v>
      </c>
      <c r="I7" s="13">
        <v>1.0</v>
      </c>
      <c r="J7" s="13">
        <v>1.0</v>
      </c>
      <c r="K7" s="13">
        <v>1.0</v>
      </c>
      <c r="L7" s="13">
        <v>1.0</v>
      </c>
      <c r="M7" s="13">
        <v>1.0</v>
      </c>
      <c r="N7" s="13">
        <v>1.0</v>
      </c>
      <c r="O7" s="13">
        <v>1.0</v>
      </c>
      <c r="P7" s="15">
        <f t="shared" si="5"/>
        <v>1</v>
      </c>
      <c r="U7" s="23">
        <f t="shared" ref="U7:V7" si="9">(H7+J7+L7+N7)/4</f>
        <v>1</v>
      </c>
      <c r="V7" s="23">
        <f t="shared" si="9"/>
        <v>1</v>
      </c>
    </row>
    <row r="8">
      <c r="A8" s="3" t="s">
        <v>54</v>
      </c>
      <c r="B8" s="3" t="s">
        <v>45</v>
      </c>
      <c r="C8" s="3" t="s">
        <v>29</v>
      </c>
      <c r="D8" s="3" t="s">
        <v>36</v>
      </c>
      <c r="E8" s="11" t="s">
        <v>605</v>
      </c>
      <c r="F8" s="12" t="s">
        <v>606</v>
      </c>
      <c r="G8" s="10" t="s">
        <v>33</v>
      </c>
      <c r="H8" s="13">
        <v>1.0</v>
      </c>
      <c r="I8" s="13">
        <v>1.0</v>
      </c>
      <c r="J8" s="13">
        <v>1.0</v>
      </c>
      <c r="K8" s="13">
        <v>1.0</v>
      </c>
      <c r="L8" s="13">
        <v>1.0</v>
      </c>
      <c r="M8" s="13">
        <v>0.0</v>
      </c>
      <c r="N8" s="13">
        <v>1.0</v>
      </c>
      <c r="O8" s="13">
        <v>0.5</v>
      </c>
      <c r="P8" s="15">
        <f t="shared" si="5"/>
        <v>0.625</v>
      </c>
      <c r="U8" s="23">
        <f t="shared" ref="U8:V8" si="10">(H8+J8+L8+N8)/4</f>
        <v>1</v>
      </c>
      <c r="V8" s="23">
        <f t="shared" si="10"/>
        <v>0.625</v>
      </c>
    </row>
    <row r="9">
      <c r="A9" s="3" t="s">
        <v>58</v>
      </c>
      <c r="B9" s="3" t="s">
        <v>45</v>
      </c>
      <c r="C9" s="3" t="s">
        <v>29</v>
      </c>
      <c r="D9" s="3" t="s">
        <v>59</v>
      </c>
      <c r="E9" s="11" t="s">
        <v>607</v>
      </c>
      <c r="F9" s="12" t="s">
        <v>608</v>
      </c>
      <c r="G9" s="10" t="s">
        <v>33</v>
      </c>
      <c r="H9" s="13">
        <v>1.0</v>
      </c>
      <c r="I9" s="13">
        <v>1.0</v>
      </c>
      <c r="J9" s="13">
        <v>1.0</v>
      </c>
      <c r="K9" s="13">
        <v>1.0</v>
      </c>
      <c r="L9" s="13">
        <v>0.5</v>
      </c>
      <c r="M9" s="13">
        <v>1.0</v>
      </c>
      <c r="N9" s="13">
        <v>1.0</v>
      </c>
      <c r="O9" s="13">
        <v>1.0</v>
      </c>
      <c r="P9" s="15">
        <f t="shared" si="5"/>
        <v>0.875</v>
      </c>
      <c r="U9" s="23">
        <f t="shared" ref="U9:V9" si="11">(H9+J9+L9+N9)/4</f>
        <v>0.875</v>
      </c>
      <c r="V9" s="23">
        <f t="shared" si="11"/>
        <v>1</v>
      </c>
    </row>
    <row r="10">
      <c r="A10" s="3" t="s">
        <v>62</v>
      </c>
      <c r="B10" s="3" t="s">
        <v>45</v>
      </c>
      <c r="C10" s="3" t="s">
        <v>29</v>
      </c>
      <c r="D10" s="3" t="s">
        <v>63</v>
      </c>
      <c r="E10" s="11" t="s">
        <v>609</v>
      </c>
      <c r="F10" s="12" t="s">
        <v>610</v>
      </c>
      <c r="G10" s="10" t="s">
        <v>33</v>
      </c>
      <c r="H10" s="13">
        <v>1.0</v>
      </c>
      <c r="I10" s="13">
        <v>1.0</v>
      </c>
      <c r="J10" s="13">
        <v>1.0</v>
      </c>
      <c r="K10" s="13">
        <v>1.0</v>
      </c>
      <c r="L10" s="13">
        <v>0.5</v>
      </c>
      <c r="M10" s="13">
        <v>1.0</v>
      </c>
      <c r="N10" s="13">
        <v>1.0</v>
      </c>
      <c r="O10" s="13">
        <v>1.0</v>
      </c>
      <c r="P10" s="15">
        <f t="shared" si="5"/>
        <v>0.875</v>
      </c>
      <c r="U10" s="23">
        <f t="shared" ref="U10:V10" si="12">(H10+J10+L10+N10)/4</f>
        <v>0.875</v>
      </c>
      <c r="V10" s="23">
        <f t="shared" si="12"/>
        <v>1</v>
      </c>
    </row>
    <row r="11">
      <c r="A11" s="3" t="s">
        <v>67</v>
      </c>
      <c r="B11" s="3" t="s">
        <v>45</v>
      </c>
      <c r="C11" s="3" t="s">
        <v>29</v>
      </c>
      <c r="D11" s="3" t="s">
        <v>68</v>
      </c>
      <c r="E11" s="11" t="s">
        <v>611</v>
      </c>
      <c r="F11" s="12" t="s">
        <v>612</v>
      </c>
      <c r="G11" s="10" t="s">
        <v>33</v>
      </c>
      <c r="H11" s="13">
        <v>1.0</v>
      </c>
      <c r="I11" s="13">
        <v>1.0</v>
      </c>
      <c r="J11" s="13">
        <v>1.0</v>
      </c>
      <c r="K11" s="13">
        <v>1.0</v>
      </c>
      <c r="L11" s="13">
        <v>1.0</v>
      </c>
      <c r="M11" s="13">
        <v>1.0</v>
      </c>
      <c r="N11" s="13">
        <v>1.0</v>
      </c>
      <c r="O11" s="13">
        <v>1.0</v>
      </c>
      <c r="P11" s="15">
        <f t="shared" si="5"/>
        <v>1</v>
      </c>
      <c r="U11" s="23">
        <f t="shared" ref="U11:V11" si="13">(H11+J11+L11+N11)/4</f>
        <v>1</v>
      </c>
      <c r="V11" s="23">
        <f t="shared" si="13"/>
        <v>1</v>
      </c>
    </row>
    <row r="12">
      <c r="A12" s="3" t="s">
        <v>71</v>
      </c>
      <c r="B12" s="3" t="s">
        <v>45</v>
      </c>
      <c r="C12" s="3" t="s">
        <v>29</v>
      </c>
      <c r="D12" s="3" t="s">
        <v>72</v>
      </c>
      <c r="E12" s="11" t="s">
        <v>613</v>
      </c>
      <c r="F12" s="12" t="s">
        <v>614</v>
      </c>
      <c r="G12" s="10" t="s">
        <v>33</v>
      </c>
      <c r="H12" s="13">
        <v>1.0</v>
      </c>
      <c r="I12" s="13">
        <v>1.0</v>
      </c>
      <c r="J12" s="13">
        <v>1.0</v>
      </c>
      <c r="K12" s="13">
        <v>1.0</v>
      </c>
      <c r="L12" s="13">
        <v>0.5</v>
      </c>
      <c r="M12" s="13">
        <v>1.0</v>
      </c>
      <c r="N12" s="13">
        <v>1.0</v>
      </c>
      <c r="O12" s="13">
        <v>1.0</v>
      </c>
      <c r="P12" s="15">
        <f t="shared" si="5"/>
        <v>0.875</v>
      </c>
      <c r="U12" s="23">
        <f t="shared" ref="U12:V12" si="14">(H12+J12+L12+N12)/4</f>
        <v>0.875</v>
      </c>
      <c r="V12" s="23">
        <f t="shared" si="14"/>
        <v>1</v>
      </c>
    </row>
    <row r="13">
      <c r="A13" s="3" t="s">
        <v>75</v>
      </c>
      <c r="B13" s="3" t="s">
        <v>45</v>
      </c>
      <c r="C13" s="3" t="s">
        <v>29</v>
      </c>
      <c r="D13" s="3" t="s">
        <v>76</v>
      </c>
      <c r="E13" s="11" t="s">
        <v>615</v>
      </c>
      <c r="F13" s="12" t="s">
        <v>616</v>
      </c>
      <c r="G13" s="10" t="s">
        <v>33</v>
      </c>
      <c r="H13" s="13">
        <v>1.0</v>
      </c>
      <c r="I13" s="13">
        <v>1.0</v>
      </c>
      <c r="J13" s="13">
        <v>1.0</v>
      </c>
      <c r="K13" s="13">
        <v>1.0</v>
      </c>
      <c r="L13" s="13">
        <v>1.0</v>
      </c>
      <c r="M13" s="13">
        <v>0.0</v>
      </c>
      <c r="N13" s="13">
        <v>1.0</v>
      </c>
      <c r="O13" s="13">
        <v>1.0</v>
      </c>
      <c r="P13" s="15">
        <f t="shared" si="5"/>
        <v>0.75</v>
      </c>
      <c r="U13" s="23">
        <f t="shared" ref="U13:V13" si="15">(H13+J13+L13+N13)/4</f>
        <v>1</v>
      </c>
      <c r="V13" s="23">
        <f t="shared" si="15"/>
        <v>0.75</v>
      </c>
    </row>
    <row r="14">
      <c r="A14" s="3" t="s">
        <v>79</v>
      </c>
      <c r="B14" s="3" t="s">
        <v>45</v>
      </c>
      <c r="C14" s="3" t="s">
        <v>29</v>
      </c>
      <c r="D14" s="3" t="s">
        <v>80</v>
      </c>
      <c r="E14" s="11" t="s">
        <v>617</v>
      </c>
      <c r="F14" s="12" t="s">
        <v>618</v>
      </c>
      <c r="G14" s="10" t="s">
        <v>33</v>
      </c>
      <c r="H14" s="13">
        <v>0.5</v>
      </c>
      <c r="I14" s="13">
        <v>1.0</v>
      </c>
      <c r="J14" s="13">
        <v>1.0</v>
      </c>
      <c r="K14" s="13">
        <v>1.0</v>
      </c>
      <c r="L14" s="13">
        <v>0.5</v>
      </c>
      <c r="M14" s="13">
        <v>1.0</v>
      </c>
      <c r="N14" s="13">
        <v>0.5</v>
      </c>
      <c r="O14" s="13">
        <v>1.0</v>
      </c>
      <c r="P14" s="15">
        <f t="shared" si="5"/>
        <v>0.625</v>
      </c>
      <c r="U14" s="23">
        <f t="shared" ref="U14:V14" si="16">(H14+J14+L14+N14)/4</f>
        <v>0.625</v>
      </c>
      <c r="V14" s="23">
        <f t="shared" si="16"/>
        <v>1</v>
      </c>
    </row>
    <row r="15">
      <c r="A15" s="3" t="s">
        <v>83</v>
      </c>
      <c r="B15" s="3" t="s">
        <v>45</v>
      </c>
      <c r="C15" s="3" t="s">
        <v>29</v>
      </c>
      <c r="D15" s="3" t="s">
        <v>84</v>
      </c>
      <c r="E15" s="11" t="s">
        <v>619</v>
      </c>
      <c r="F15" s="12" t="s">
        <v>620</v>
      </c>
      <c r="G15" s="10" t="s">
        <v>33</v>
      </c>
      <c r="H15" s="13">
        <v>1.0</v>
      </c>
      <c r="I15" s="13">
        <v>1.0</v>
      </c>
      <c r="J15" s="13">
        <v>0.5</v>
      </c>
      <c r="K15" s="13">
        <v>1.0</v>
      </c>
      <c r="L15" s="13">
        <v>1.0</v>
      </c>
      <c r="M15" s="13">
        <v>1.0</v>
      </c>
      <c r="N15" s="13">
        <v>1.0</v>
      </c>
      <c r="O15" s="13">
        <v>1.0</v>
      </c>
      <c r="P15" s="15">
        <f t="shared" si="5"/>
        <v>0.875</v>
      </c>
      <c r="U15" s="23">
        <f t="shared" ref="U15:V15" si="17">(H15+J15+L15+N15)/4</f>
        <v>0.875</v>
      </c>
      <c r="V15" s="23">
        <f t="shared" si="17"/>
        <v>1</v>
      </c>
    </row>
    <row r="16">
      <c r="A16" s="3" t="s">
        <v>87</v>
      </c>
      <c r="B16" s="3" t="s">
        <v>45</v>
      </c>
      <c r="C16" s="3" t="s">
        <v>29</v>
      </c>
      <c r="D16" s="3" t="s">
        <v>88</v>
      </c>
      <c r="E16" s="11" t="s">
        <v>621</v>
      </c>
      <c r="F16" s="12" t="s">
        <v>622</v>
      </c>
      <c r="G16" s="10" t="s">
        <v>33</v>
      </c>
      <c r="H16" s="13">
        <v>1.0</v>
      </c>
      <c r="I16" s="13">
        <v>1.0</v>
      </c>
      <c r="J16" s="13">
        <v>1.0</v>
      </c>
      <c r="K16" s="13">
        <v>1.0</v>
      </c>
      <c r="L16" s="13">
        <v>1.0</v>
      </c>
      <c r="M16" s="13">
        <v>1.0</v>
      </c>
      <c r="N16" s="13">
        <v>1.0</v>
      </c>
      <c r="O16" s="13">
        <v>1.0</v>
      </c>
      <c r="P16" s="15">
        <f t="shared" si="5"/>
        <v>1</v>
      </c>
      <c r="U16" s="23">
        <f t="shared" ref="U16:V16" si="18">(H16+J16+L16+N16)/4</f>
        <v>1</v>
      </c>
      <c r="V16" s="23">
        <f t="shared" si="18"/>
        <v>1</v>
      </c>
    </row>
    <row r="17">
      <c r="A17" s="3" t="s">
        <v>91</v>
      </c>
      <c r="B17" s="3" t="s">
        <v>45</v>
      </c>
      <c r="C17" s="3" t="s">
        <v>29</v>
      </c>
      <c r="D17" s="3" t="s">
        <v>92</v>
      </c>
      <c r="E17" s="11" t="s">
        <v>623</v>
      </c>
      <c r="F17" s="12" t="s">
        <v>624</v>
      </c>
      <c r="G17" s="10" t="s">
        <v>33</v>
      </c>
      <c r="H17" s="13">
        <v>1.0</v>
      </c>
      <c r="I17" s="13">
        <v>1.0</v>
      </c>
      <c r="J17" s="13">
        <v>1.0</v>
      </c>
      <c r="K17" s="13">
        <v>1.0</v>
      </c>
      <c r="L17" s="13">
        <v>0.5</v>
      </c>
      <c r="M17" s="13">
        <v>1.0</v>
      </c>
      <c r="N17" s="13">
        <v>1.0</v>
      </c>
      <c r="O17" s="13">
        <v>1.0</v>
      </c>
      <c r="P17" s="15">
        <f t="shared" si="5"/>
        <v>0.875</v>
      </c>
      <c r="U17" s="23">
        <f t="shared" ref="U17:V17" si="19">(H17+J17+L17+N17)/4</f>
        <v>0.875</v>
      </c>
      <c r="V17" s="23">
        <f t="shared" si="19"/>
        <v>1</v>
      </c>
    </row>
    <row r="18">
      <c r="A18" s="3" t="s">
        <v>95</v>
      </c>
      <c r="B18" s="3" t="s">
        <v>45</v>
      </c>
      <c r="C18" s="3" t="s">
        <v>29</v>
      </c>
      <c r="D18" s="3" t="s">
        <v>96</v>
      </c>
      <c r="E18" s="11" t="s">
        <v>625</v>
      </c>
      <c r="F18" s="12" t="s">
        <v>626</v>
      </c>
      <c r="G18" s="10" t="s">
        <v>33</v>
      </c>
      <c r="H18" s="13">
        <v>1.0</v>
      </c>
      <c r="I18" s="13">
        <v>1.0</v>
      </c>
      <c r="J18" s="13">
        <v>1.0</v>
      </c>
      <c r="K18" s="13">
        <v>1.0</v>
      </c>
      <c r="L18" s="13">
        <v>1.0</v>
      </c>
      <c r="M18" s="13">
        <v>1.0</v>
      </c>
      <c r="N18" s="13">
        <v>1.0</v>
      </c>
      <c r="O18" s="13">
        <v>1.0</v>
      </c>
      <c r="P18" s="15">
        <f t="shared" si="5"/>
        <v>1</v>
      </c>
      <c r="U18" s="23">
        <f t="shared" ref="U18:V18" si="20">(H18+J18+L18+N18)/4</f>
        <v>1</v>
      </c>
      <c r="V18" s="23">
        <f t="shared" si="20"/>
        <v>1</v>
      </c>
    </row>
    <row r="19">
      <c r="A19" s="3" t="s">
        <v>99</v>
      </c>
      <c r="B19" s="3" t="s">
        <v>45</v>
      </c>
      <c r="C19" s="3" t="s">
        <v>29</v>
      </c>
      <c r="D19" s="3" t="s">
        <v>100</v>
      </c>
      <c r="E19" s="11" t="s">
        <v>627</v>
      </c>
      <c r="F19" s="12" t="s">
        <v>628</v>
      </c>
      <c r="G19" s="10" t="s">
        <v>33</v>
      </c>
      <c r="H19" s="13">
        <v>1.0</v>
      </c>
      <c r="I19" s="13">
        <v>1.0</v>
      </c>
      <c r="J19" s="13">
        <v>1.0</v>
      </c>
      <c r="K19" s="13">
        <v>1.0</v>
      </c>
      <c r="L19" s="13">
        <v>1.0</v>
      </c>
      <c r="M19" s="13">
        <v>1.0</v>
      </c>
      <c r="N19" s="13">
        <v>1.0</v>
      </c>
      <c r="O19" s="13">
        <v>1.0</v>
      </c>
      <c r="P19" s="15">
        <f t="shared" si="5"/>
        <v>1</v>
      </c>
      <c r="U19" s="23">
        <f t="shared" ref="U19:V19" si="21">(H19+J19+L19+N19)/4</f>
        <v>1</v>
      </c>
      <c r="V19" s="23">
        <f t="shared" si="21"/>
        <v>1</v>
      </c>
    </row>
    <row r="20">
      <c r="A20" s="3" t="s">
        <v>103</v>
      </c>
      <c r="B20" s="3" t="s">
        <v>45</v>
      </c>
      <c r="C20" s="3" t="s">
        <v>29</v>
      </c>
      <c r="D20" s="3" t="s">
        <v>104</v>
      </c>
      <c r="E20" s="11" t="s">
        <v>629</v>
      </c>
      <c r="F20" s="12" t="s">
        <v>630</v>
      </c>
      <c r="G20" s="10" t="s">
        <v>33</v>
      </c>
      <c r="H20" s="13">
        <v>1.0</v>
      </c>
      <c r="I20" s="13">
        <v>1.0</v>
      </c>
      <c r="J20" s="13">
        <v>1.0</v>
      </c>
      <c r="K20" s="13">
        <v>1.0</v>
      </c>
      <c r="L20" s="13">
        <v>1.0</v>
      </c>
      <c r="M20" s="13">
        <v>1.0</v>
      </c>
      <c r="N20" s="13">
        <v>1.0</v>
      </c>
      <c r="O20" s="13">
        <v>1.0</v>
      </c>
      <c r="P20" s="15">
        <f t="shared" si="5"/>
        <v>1</v>
      </c>
      <c r="U20" s="23">
        <f t="shared" ref="U20:V20" si="22">(H20+J20+L20+N20)/4</f>
        <v>1</v>
      </c>
      <c r="V20" s="23">
        <f t="shared" si="22"/>
        <v>1</v>
      </c>
    </row>
    <row r="21">
      <c r="A21" s="3" t="s">
        <v>107</v>
      </c>
      <c r="B21" s="3" t="s">
        <v>45</v>
      </c>
      <c r="C21" s="3" t="s">
        <v>29</v>
      </c>
      <c r="D21" s="3" t="s">
        <v>108</v>
      </c>
      <c r="E21" s="11" t="s">
        <v>631</v>
      </c>
      <c r="F21" s="12" t="s">
        <v>403</v>
      </c>
      <c r="G21" s="10" t="s">
        <v>33</v>
      </c>
      <c r="H21" s="13">
        <v>1.0</v>
      </c>
      <c r="I21" s="13">
        <v>1.0</v>
      </c>
      <c r="J21" s="13">
        <v>1.0</v>
      </c>
      <c r="K21" s="13">
        <v>1.0</v>
      </c>
      <c r="L21" s="13">
        <v>1.0</v>
      </c>
      <c r="M21" s="13">
        <v>1.0</v>
      </c>
      <c r="N21" s="13">
        <v>1.0</v>
      </c>
      <c r="O21" s="13">
        <v>1.0</v>
      </c>
      <c r="P21" s="15">
        <f t="shared" si="5"/>
        <v>1</v>
      </c>
      <c r="U21" s="23">
        <f t="shared" ref="U21:V21" si="23">(H21+J21+L21+N21)/4</f>
        <v>1</v>
      </c>
      <c r="V21" s="23">
        <f t="shared" si="23"/>
        <v>1</v>
      </c>
    </row>
    <row r="22">
      <c r="A22" s="3" t="s">
        <v>111</v>
      </c>
      <c r="B22" s="3" t="s">
        <v>45</v>
      </c>
      <c r="C22" s="3" t="s">
        <v>29</v>
      </c>
      <c r="D22" s="3" t="s">
        <v>112</v>
      </c>
      <c r="E22" s="11" t="s">
        <v>632</v>
      </c>
      <c r="F22" s="12" t="s">
        <v>412</v>
      </c>
      <c r="G22" s="10" t="s">
        <v>33</v>
      </c>
      <c r="H22" s="13">
        <v>1.0</v>
      </c>
      <c r="I22" s="13">
        <v>1.0</v>
      </c>
      <c r="J22" s="13">
        <v>1.0</v>
      </c>
      <c r="K22" s="13">
        <v>1.0</v>
      </c>
      <c r="L22" s="13">
        <v>1.0</v>
      </c>
      <c r="M22" s="13">
        <v>1.0</v>
      </c>
      <c r="N22" s="13">
        <v>1.0</v>
      </c>
      <c r="O22" s="13">
        <v>1.0</v>
      </c>
      <c r="P22" s="15">
        <f t="shared" si="5"/>
        <v>1</v>
      </c>
      <c r="U22" s="23">
        <f t="shared" ref="U22:V22" si="24">(H22+J22+L22+N22)/4</f>
        <v>1</v>
      </c>
      <c r="V22" s="23">
        <f t="shared" si="24"/>
        <v>1</v>
      </c>
    </row>
    <row r="23">
      <c r="A23" s="3" t="s">
        <v>115</v>
      </c>
      <c r="B23" s="3" t="s">
        <v>45</v>
      </c>
      <c r="C23" s="3" t="s">
        <v>29</v>
      </c>
      <c r="D23" s="3" t="s">
        <v>116</v>
      </c>
      <c r="E23" s="11" t="s">
        <v>633</v>
      </c>
      <c r="F23" s="12" t="s">
        <v>634</v>
      </c>
      <c r="G23" s="10" t="s">
        <v>33</v>
      </c>
      <c r="H23" s="13">
        <v>1.0</v>
      </c>
      <c r="I23" s="13">
        <v>1.0</v>
      </c>
      <c r="J23" s="13">
        <v>0.5</v>
      </c>
      <c r="K23" s="13">
        <v>1.0</v>
      </c>
      <c r="L23" s="13">
        <v>1.0</v>
      </c>
      <c r="M23" s="13">
        <v>0.0</v>
      </c>
      <c r="N23" s="13">
        <v>1.0</v>
      </c>
      <c r="O23" s="13">
        <v>1.0</v>
      </c>
      <c r="P23" s="15">
        <f t="shared" si="5"/>
        <v>0.625</v>
      </c>
      <c r="U23" s="23">
        <f t="shared" ref="U23:V23" si="25">(H23+J23+L23+N23)/4</f>
        <v>0.875</v>
      </c>
      <c r="V23" s="23">
        <f t="shared" si="25"/>
        <v>0.75</v>
      </c>
    </row>
    <row r="24">
      <c r="A24" s="3" t="s">
        <v>119</v>
      </c>
      <c r="B24" s="3" t="s">
        <v>45</v>
      </c>
      <c r="C24" s="3" t="s">
        <v>29</v>
      </c>
      <c r="D24" s="3" t="s">
        <v>120</v>
      </c>
      <c r="E24" s="11" t="s">
        <v>635</v>
      </c>
      <c r="F24" s="12" t="s">
        <v>636</v>
      </c>
      <c r="G24" s="10" t="s">
        <v>33</v>
      </c>
      <c r="H24" s="13">
        <v>1.0</v>
      </c>
      <c r="I24" s="13">
        <v>1.0</v>
      </c>
      <c r="J24" s="13">
        <v>1.0</v>
      </c>
      <c r="K24" s="13">
        <v>1.0</v>
      </c>
      <c r="L24" s="13">
        <v>1.0</v>
      </c>
      <c r="M24" s="13">
        <v>1.0</v>
      </c>
      <c r="N24" s="13">
        <v>1.0</v>
      </c>
      <c r="O24" s="13">
        <v>1.0</v>
      </c>
      <c r="P24" s="15">
        <f t="shared" si="5"/>
        <v>1</v>
      </c>
      <c r="U24" s="23">
        <f t="shared" ref="U24:V24" si="26">(H24+J24+L24+N24)/4</f>
        <v>1</v>
      </c>
      <c r="V24" s="23">
        <f t="shared" si="26"/>
        <v>1</v>
      </c>
    </row>
    <row r="25">
      <c r="A25" s="3" t="s">
        <v>123</v>
      </c>
      <c r="B25" s="3" t="s">
        <v>45</v>
      </c>
      <c r="C25" s="3" t="s">
        <v>29</v>
      </c>
      <c r="D25" s="3" t="s">
        <v>124</v>
      </c>
      <c r="E25" s="11" t="s">
        <v>637</v>
      </c>
      <c r="F25" s="12" t="s">
        <v>638</v>
      </c>
      <c r="G25" s="10" t="s">
        <v>33</v>
      </c>
      <c r="H25" s="13">
        <v>1.0</v>
      </c>
      <c r="I25" s="13">
        <v>1.0</v>
      </c>
      <c r="J25" s="13">
        <v>1.0</v>
      </c>
      <c r="K25" s="13">
        <v>1.0</v>
      </c>
      <c r="L25" s="13">
        <v>0.5</v>
      </c>
      <c r="M25" s="13">
        <v>1.0</v>
      </c>
      <c r="N25" s="13">
        <v>1.0</v>
      </c>
      <c r="O25" s="13">
        <v>1.0</v>
      </c>
      <c r="P25" s="15">
        <f t="shared" si="5"/>
        <v>0.875</v>
      </c>
      <c r="U25" s="23">
        <f t="shared" ref="U25:V25" si="27">(H25+J25+L25+N25)/4</f>
        <v>0.875</v>
      </c>
      <c r="V25" s="23">
        <f t="shared" si="27"/>
        <v>1</v>
      </c>
    </row>
    <row r="26">
      <c r="A26" s="3" t="s">
        <v>127</v>
      </c>
      <c r="B26" s="3" t="s">
        <v>45</v>
      </c>
      <c r="C26" s="3" t="s">
        <v>29</v>
      </c>
      <c r="D26" s="3" t="s">
        <v>128</v>
      </c>
      <c r="E26" s="11" t="s">
        <v>639</v>
      </c>
      <c r="F26" s="12" t="s">
        <v>640</v>
      </c>
      <c r="G26" s="10" t="s">
        <v>33</v>
      </c>
      <c r="H26" s="13">
        <v>1.0</v>
      </c>
      <c r="I26" s="13">
        <v>1.0</v>
      </c>
      <c r="J26" s="13">
        <v>1.0</v>
      </c>
      <c r="K26" s="13">
        <v>1.0</v>
      </c>
      <c r="L26" s="13">
        <v>1.0</v>
      </c>
      <c r="M26" s="13">
        <v>1.0</v>
      </c>
      <c r="N26" s="13">
        <v>1.0</v>
      </c>
      <c r="O26" s="13">
        <v>1.0</v>
      </c>
      <c r="P26" s="15">
        <f t="shared" si="5"/>
        <v>1</v>
      </c>
      <c r="U26" s="23">
        <f t="shared" ref="U26:V26" si="28">(H26+J26+L26+N26)/4</f>
        <v>1</v>
      </c>
      <c r="V26" s="23">
        <f t="shared" si="28"/>
        <v>1</v>
      </c>
    </row>
    <row r="27">
      <c r="A27" s="3" t="s">
        <v>131</v>
      </c>
      <c r="B27" s="3" t="s">
        <v>45</v>
      </c>
      <c r="C27" s="3" t="s">
        <v>29</v>
      </c>
      <c r="D27" s="3" t="s">
        <v>132</v>
      </c>
      <c r="E27" s="11" t="s">
        <v>641</v>
      </c>
      <c r="F27" s="12" t="s">
        <v>642</v>
      </c>
      <c r="G27" s="10" t="s">
        <v>33</v>
      </c>
      <c r="H27" s="13">
        <v>1.0</v>
      </c>
      <c r="I27" s="13">
        <v>1.0</v>
      </c>
      <c r="J27" s="13">
        <v>1.0</v>
      </c>
      <c r="K27" s="13">
        <v>1.0</v>
      </c>
      <c r="L27" s="13">
        <v>0.5</v>
      </c>
      <c r="M27" s="13">
        <v>1.0</v>
      </c>
      <c r="N27" s="13">
        <v>1.0</v>
      </c>
      <c r="O27" s="13">
        <v>1.0</v>
      </c>
      <c r="P27" s="15">
        <f t="shared" si="5"/>
        <v>0.875</v>
      </c>
      <c r="U27" s="23">
        <f t="shared" ref="U27:V27" si="29">(H27+J27+L27+N27)/4</f>
        <v>0.875</v>
      </c>
      <c r="V27" s="23">
        <f t="shared" si="29"/>
        <v>1</v>
      </c>
    </row>
    <row r="28">
      <c r="A28" s="3" t="s">
        <v>135</v>
      </c>
      <c r="B28" s="3" t="s">
        <v>45</v>
      </c>
      <c r="C28" s="3" t="s">
        <v>29</v>
      </c>
      <c r="D28" s="3" t="s">
        <v>136</v>
      </c>
      <c r="E28" s="11" t="s">
        <v>643</v>
      </c>
      <c r="F28" s="12" t="s">
        <v>644</v>
      </c>
      <c r="G28" s="10" t="s">
        <v>33</v>
      </c>
      <c r="H28" s="13">
        <v>1.0</v>
      </c>
      <c r="I28" s="13">
        <v>1.0</v>
      </c>
      <c r="J28" s="13">
        <v>1.0</v>
      </c>
      <c r="K28" s="13">
        <v>1.0</v>
      </c>
      <c r="L28" s="13">
        <v>0.5</v>
      </c>
      <c r="M28" s="13">
        <v>1.0</v>
      </c>
      <c r="N28" s="13">
        <v>1.0</v>
      </c>
      <c r="O28" s="13">
        <v>1.0</v>
      </c>
      <c r="P28" s="15">
        <f t="shared" si="5"/>
        <v>0.875</v>
      </c>
      <c r="U28" s="23">
        <f t="shared" ref="U28:V28" si="30">(H28+J28+L28+N28)/4</f>
        <v>0.875</v>
      </c>
      <c r="V28" s="23">
        <f t="shared" si="30"/>
        <v>1</v>
      </c>
    </row>
    <row r="29">
      <c r="A29" s="3" t="s">
        <v>139</v>
      </c>
      <c r="B29" s="3" t="s">
        <v>45</v>
      </c>
      <c r="C29" s="3" t="s">
        <v>29</v>
      </c>
      <c r="D29" s="3" t="s">
        <v>140</v>
      </c>
      <c r="E29" s="11" t="s">
        <v>645</v>
      </c>
      <c r="F29" s="12" t="s">
        <v>646</v>
      </c>
      <c r="G29" s="10" t="s">
        <v>39</v>
      </c>
      <c r="H29" s="13">
        <v>1.0</v>
      </c>
      <c r="I29" s="13">
        <v>0.5</v>
      </c>
      <c r="J29" s="13">
        <v>1.0</v>
      </c>
      <c r="K29" s="13">
        <v>0.5</v>
      </c>
      <c r="L29" s="13">
        <v>1.0</v>
      </c>
      <c r="M29" s="13">
        <v>1.0</v>
      </c>
      <c r="N29" s="13">
        <v>1.0</v>
      </c>
      <c r="O29" s="13">
        <v>1.0</v>
      </c>
      <c r="P29" s="15">
        <f t="shared" si="5"/>
        <v>0.75</v>
      </c>
      <c r="U29" s="23">
        <f t="shared" ref="U29:V29" si="31">(H29+J29+L29+N29)/4</f>
        <v>1</v>
      </c>
      <c r="V29" s="23">
        <f t="shared" si="31"/>
        <v>0.75</v>
      </c>
    </row>
    <row r="30">
      <c r="A30" s="3" t="s">
        <v>143</v>
      </c>
      <c r="B30" s="3" t="s">
        <v>45</v>
      </c>
      <c r="C30" s="3" t="s">
        <v>29</v>
      </c>
      <c r="D30" s="3" t="s">
        <v>144</v>
      </c>
      <c r="E30" s="11" t="s">
        <v>647</v>
      </c>
      <c r="F30" s="12" t="s">
        <v>648</v>
      </c>
      <c r="G30" s="10" t="s">
        <v>33</v>
      </c>
      <c r="H30" s="13">
        <v>1.0</v>
      </c>
      <c r="I30" s="13">
        <v>1.0</v>
      </c>
      <c r="J30" s="13">
        <v>1.0</v>
      </c>
      <c r="K30" s="13">
        <v>1.0</v>
      </c>
      <c r="L30" s="13">
        <v>1.0</v>
      </c>
      <c r="M30" s="13">
        <v>1.0</v>
      </c>
      <c r="N30" s="13">
        <v>1.0</v>
      </c>
      <c r="O30" s="13">
        <v>1.0</v>
      </c>
      <c r="P30" s="15">
        <f t="shared" si="5"/>
        <v>1</v>
      </c>
      <c r="U30" s="23">
        <f t="shared" ref="U30:V30" si="32">(H30+J30+L30+N30)/4</f>
        <v>1</v>
      </c>
      <c r="V30" s="23">
        <f t="shared" si="32"/>
        <v>1</v>
      </c>
    </row>
    <row r="31">
      <c r="A31" s="3" t="s">
        <v>147</v>
      </c>
      <c r="B31" s="3" t="s">
        <v>45</v>
      </c>
      <c r="C31" s="3" t="s">
        <v>29</v>
      </c>
      <c r="D31" s="3" t="s">
        <v>148</v>
      </c>
      <c r="E31" s="11" t="s">
        <v>649</v>
      </c>
      <c r="F31" s="12" t="s">
        <v>650</v>
      </c>
      <c r="G31" s="10" t="s">
        <v>33</v>
      </c>
      <c r="H31" s="13">
        <v>1.0</v>
      </c>
      <c r="I31" s="13">
        <v>1.0</v>
      </c>
      <c r="J31" s="13">
        <v>1.0</v>
      </c>
      <c r="K31" s="13">
        <v>1.0</v>
      </c>
      <c r="L31" s="13">
        <v>1.0</v>
      </c>
      <c r="M31" s="13">
        <v>1.0</v>
      </c>
      <c r="N31" s="13">
        <v>1.0</v>
      </c>
      <c r="O31" s="13">
        <v>1.0</v>
      </c>
      <c r="P31" s="15">
        <f t="shared" si="5"/>
        <v>1</v>
      </c>
      <c r="U31" s="23">
        <f t="shared" ref="U31:V31" si="33">(H31+J31+L31+N31)/4</f>
        <v>1</v>
      </c>
      <c r="V31" s="23">
        <f t="shared" si="33"/>
        <v>1</v>
      </c>
    </row>
    <row r="32">
      <c r="A32" s="3" t="s">
        <v>151</v>
      </c>
      <c r="B32" s="3" t="s">
        <v>45</v>
      </c>
      <c r="C32" s="3" t="s">
        <v>29</v>
      </c>
      <c r="D32" s="3" t="s">
        <v>152</v>
      </c>
      <c r="E32" s="11" t="s">
        <v>651</v>
      </c>
      <c r="F32" s="12" t="s">
        <v>652</v>
      </c>
      <c r="G32" s="10" t="s">
        <v>33</v>
      </c>
      <c r="H32" s="13">
        <v>1.0</v>
      </c>
      <c r="I32" s="13">
        <v>1.0</v>
      </c>
      <c r="J32" s="13">
        <v>1.0</v>
      </c>
      <c r="K32" s="13">
        <v>1.0</v>
      </c>
      <c r="L32" s="13">
        <v>1.0</v>
      </c>
      <c r="M32" s="13">
        <v>1.0</v>
      </c>
      <c r="N32" s="13">
        <v>1.0</v>
      </c>
      <c r="O32" s="13">
        <v>1.0</v>
      </c>
      <c r="P32" s="15">
        <f t="shared" si="5"/>
        <v>1</v>
      </c>
      <c r="U32" s="23">
        <f t="shared" ref="U32:V32" si="34">(H32+J32+L32+N32)/4</f>
        <v>1</v>
      </c>
      <c r="V32" s="23">
        <f t="shared" si="34"/>
        <v>1</v>
      </c>
    </row>
    <row r="33">
      <c r="A33" s="3" t="s">
        <v>155</v>
      </c>
      <c r="B33" s="3" t="s">
        <v>45</v>
      </c>
      <c r="C33" s="3" t="s">
        <v>29</v>
      </c>
      <c r="D33" s="3" t="s">
        <v>156</v>
      </c>
      <c r="E33" s="11" t="s">
        <v>653</v>
      </c>
      <c r="F33" s="12" t="s">
        <v>654</v>
      </c>
      <c r="G33" s="10" t="s">
        <v>33</v>
      </c>
      <c r="H33" s="13">
        <v>1.0</v>
      </c>
      <c r="I33" s="13">
        <v>1.0</v>
      </c>
      <c r="J33" s="13">
        <v>1.0</v>
      </c>
      <c r="K33" s="13">
        <v>1.0</v>
      </c>
      <c r="L33" s="13">
        <v>1.0</v>
      </c>
      <c r="M33" s="13">
        <v>1.0</v>
      </c>
      <c r="N33" s="13">
        <v>1.0</v>
      </c>
      <c r="O33" s="13">
        <v>1.0</v>
      </c>
      <c r="P33" s="15">
        <f t="shared" si="5"/>
        <v>1</v>
      </c>
      <c r="U33" s="23">
        <f t="shared" ref="U33:V33" si="35">(H33+J33+L33+N33)/4</f>
        <v>1</v>
      </c>
      <c r="V33" s="23">
        <f t="shared" si="35"/>
        <v>1</v>
      </c>
    </row>
    <row r="34">
      <c r="A34" s="3" t="s">
        <v>159</v>
      </c>
      <c r="B34" s="3" t="s">
        <v>45</v>
      </c>
      <c r="C34" s="3" t="s">
        <v>29</v>
      </c>
      <c r="D34" s="3" t="s">
        <v>160</v>
      </c>
      <c r="E34" s="11" t="s">
        <v>655</v>
      </c>
      <c r="F34" s="12" t="s">
        <v>656</v>
      </c>
      <c r="G34" s="10" t="s">
        <v>33</v>
      </c>
      <c r="H34" s="13">
        <v>1.0</v>
      </c>
      <c r="I34" s="13">
        <v>1.0</v>
      </c>
      <c r="J34" s="13">
        <v>1.0</v>
      </c>
      <c r="K34" s="13">
        <v>1.0</v>
      </c>
      <c r="L34" s="13">
        <v>1.0</v>
      </c>
      <c r="M34" s="13">
        <v>1.0</v>
      </c>
      <c r="N34" s="13">
        <v>1.0</v>
      </c>
      <c r="O34" s="13">
        <v>1.0</v>
      </c>
      <c r="P34" s="15">
        <f t="shared" si="5"/>
        <v>1</v>
      </c>
      <c r="U34" s="23">
        <f t="shared" ref="U34:V34" si="36">(H34+J34+L34+N34)/4</f>
        <v>1</v>
      </c>
      <c r="V34" s="23">
        <f t="shared" si="36"/>
        <v>1</v>
      </c>
    </row>
    <row r="35">
      <c r="A35" s="3" t="s">
        <v>163</v>
      </c>
      <c r="B35" s="3" t="s">
        <v>45</v>
      </c>
      <c r="C35" s="3" t="s">
        <v>29</v>
      </c>
      <c r="D35" s="3" t="s">
        <v>164</v>
      </c>
      <c r="E35" s="11" t="s">
        <v>657</v>
      </c>
      <c r="F35" s="12" t="s">
        <v>658</v>
      </c>
      <c r="G35" s="10" t="s">
        <v>33</v>
      </c>
      <c r="H35" s="13">
        <v>1.0</v>
      </c>
      <c r="I35" s="13">
        <v>1.0</v>
      </c>
      <c r="J35" s="13">
        <v>1.0</v>
      </c>
      <c r="K35" s="13">
        <v>1.0</v>
      </c>
      <c r="L35" s="13">
        <v>1.0</v>
      </c>
      <c r="M35" s="13">
        <v>1.0</v>
      </c>
      <c r="N35" s="13">
        <v>1.0</v>
      </c>
      <c r="O35" s="13">
        <v>1.0</v>
      </c>
      <c r="P35" s="15">
        <f t="shared" si="5"/>
        <v>1</v>
      </c>
      <c r="U35" s="23">
        <f t="shared" ref="U35:V35" si="37">(H35+J35+L35+N35)/4</f>
        <v>1</v>
      </c>
      <c r="V35" s="23">
        <f t="shared" si="37"/>
        <v>1</v>
      </c>
    </row>
    <row r="36">
      <c r="A36" s="3" t="s">
        <v>167</v>
      </c>
      <c r="B36" s="3" t="s">
        <v>45</v>
      </c>
      <c r="C36" s="3" t="s">
        <v>29</v>
      </c>
      <c r="D36" s="3" t="s">
        <v>168</v>
      </c>
      <c r="E36" s="11" t="s">
        <v>659</v>
      </c>
      <c r="F36" s="12" t="s">
        <v>391</v>
      </c>
      <c r="G36" s="10" t="s">
        <v>33</v>
      </c>
      <c r="H36" s="13">
        <v>1.0</v>
      </c>
      <c r="I36" s="13">
        <v>1.0</v>
      </c>
      <c r="J36" s="13">
        <v>1.0</v>
      </c>
      <c r="K36" s="13">
        <v>1.0</v>
      </c>
      <c r="L36" s="13">
        <v>0.5</v>
      </c>
      <c r="M36" s="13">
        <v>1.0</v>
      </c>
      <c r="N36" s="13">
        <v>1.0</v>
      </c>
      <c r="O36" s="13">
        <v>1.0</v>
      </c>
      <c r="P36" s="15">
        <f t="shared" si="5"/>
        <v>0.875</v>
      </c>
      <c r="U36" s="23">
        <f t="shared" ref="U36:V36" si="38">(H36+J36+L36+N36)/4</f>
        <v>0.875</v>
      </c>
      <c r="V36" s="23">
        <f t="shared" si="38"/>
        <v>1</v>
      </c>
    </row>
    <row r="37">
      <c r="A37" s="3" t="s">
        <v>171</v>
      </c>
      <c r="B37" s="3" t="s">
        <v>45</v>
      </c>
      <c r="C37" s="3" t="s">
        <v>29</v>
      </c>
      <c r="D37" s="3" t="s">
        <v>172</v>
      </c>
      <c r="E37" s="11" t="s">
        <v>660</v>
      </c>
      <c r="F37" s="12" t="s">
        <v>364</v>
      </c>
      <c r="G37" s="10" t="s">
        <v>33</v>
      </c>
      <c r="H37" s="13">
        <v>1.0</v>
      </c>
      <c r="I37" s="13">
        <v>1.0</v>
      </c>
      <c r="J37" s="13">
        <v>1.0</v>
      </c>
      <c r="K37" s="13">
        <v>1.0</v>
      </c>
      <c r="L37" s="13">
        <v>1.0</v>
      </c>
      <c r="M37" s="13">
        <v>1.0</v>
      </c>
      <c r="N37" s="13">
        <v>1.0</v>
      </c>
      <c r="O37" s="13">
        <v>1.0</v>
      </c>
      <c r="P37" s="15">
        <f t="shared" si="5"/>
        <v>1</v>
      </c>
      <c r="U37" s="23">
        <f t="shared" ref="U37:V37" si="39">(H37+J37+L37+N37)/4</f>
        <v>1</v>
      </c>
      <c r="V37" s="23">
        <f t="shared" si="39"/>
        <v>1</v>
      </c>
    </row>
    <row r="38">
      <c r="A38" s="3" t="s">
        <v>175</v>
      </c>
      <c r="B38" s="3" t="s">
        <v>45</v>
      </c>
      <c r="C38" s="3" t="s">
        <v>29</v>
      </c>
      <c r="D38" s="3" t="s">
        <v>176</v>
      </c>
      <c r="E38" s="11" t="s">
        <v>661</v>
      </c>
      <c r="F38" s="12" t="s">
        <v>662</v>
      </c>
      <c r="G38" s="10" t="s">
        <v>39</v>
      </c>
      <c r="H38" s="13">
        <v>0.5</v>
      </c>
      <c r="I38" s="13">
        <v>0.5</v>
      </c>
      <c r="J38" s="13">
        <v>0.5</v>
      </c>
      <c r="K38" s="13">
        <v>0.5</v>
      </c>
      <c r="L38" s="13">
        <v>0.0</v>
      </c>
      <c r="M38" s="13">
        <v>0.0</v>
      </c>
      <c r="N38" s="13">
        <v>0.5</v>
      </c>
      <c r="O38" s="13">
        <v>0.0</v>
      </c>
      <c r="P38" s="15">
        <f t="shared" si="5"/>
        <v>0.875</v>
      </c>
      <c r="U38" s="23">
        <f t="shared" ref="U38:V38" si="40">(H38+J38+L38+N38)/4</f>
        <v>0.375</v>
      </c>
      <c r="V38" s="23">
        <f t="shared" si="40"/>
        <v>0.25</v>
      </c>
    </row>
    <row r="39">
      <c r="A39" s="3" t="s">
        <v>179</v>
      </c>
      <c r="B39" s="3" t="s">
        <v>45</v>
      </c>
      <c r="C39" s="3" t="s">
        <v>29</v>
      </c>
      <c r="D39" s="3" t="s">
        <v>180</v>
      </c>
      <c r="E39" s="11" t="s">
        <v>663</v>
      </c>
      <c r="F39" s="12" t="s">
        <v>664</v>
      </c>
      <c r="G39" s="10" t="s">
        <v>33</v>
      </c>
      <c r="H39" s="13">
        <v>1.0</v>
      </c>
      <c r="I39" s="13">
        <v>1.0</v>
      </c>
      <c r="J39" s="13">
        <v>1.0</v>
      </c>
      <c r="K39" s="13">
        <v>1.0</v>
      </c>
      <c r="L39" s="13">
        <v>0.5</v>
      </c>
      <c r="M39" s="13">
        <v>1.0</v>
      </c>
      <c r="N39" s="13">
        <v>1.0</v>
      </c>
      <c r="O39" s="13">
        <v>1.0</v>
      </c>
      <c r="P39" s="15">
        <f t="shared" si="5"/>
        <v>0.875</v>
      </c>
      <c r="U39" s="23">
        <f t="shared" ref="U39:V39" si="41">(H39+J39+L39+N39)/4</f>
        <v>0.875</v>
      </c>
      <c r="V39" s="23">
        <f t="shared" si="41"/>
        <v>1</v>
      </c>
    </row>
    <row r="40">
      <c r="A40" s="3" t="s">
        <v>183</v>
      </c>
      <c r="B40" s="3" t="s">
        <v>45</v>
      </c>
      <c r="C40" s="3" t="s">
        <v>29</v>
      </c>
      <c r="D40" s="3" t="s">
        <v>184</v>
      </c>
      <c r="E40" s="11" t="s">
        <v>665</v>
      </c>
      <c r="F40" s="12" t="s">
        <v>666</v>
      </c>
      <c r="G40" s="10" t="s">
        <v>33</v>
      </c>
      <c r="H40" s="13">
        <v>1.0</v>
      </c>
      <c r="I40" s="13">
        <v>1.0</v>
      </c>
      <c r="J40" s="13">
        <v>1.0</v>
      </c>
      <c r="K40" s="13">
        <v>1.0</v>
      </c>
      <c r="L40" s="13">
        <v>1.0</v>
      </c>
      <c r="M40" s="13">
        <v>1.0</v>
      </c>
      <c r="N40" s="13">
        <v>1.0</v>
      </c>
      <c r="O40" s="13">
        <v>1.0</v>
      </c>
      <c r="P40" s="15">
        <f t="shared" si="5"/>
        <v>1</v>
      </c>
      <c r="U40" s="23">
        <f t="shared" ref="U40:V40" si="42">(H40+J40+L40+N40)/4</f>
        <v>1</v>
      </c>
      <c r="V40" s="23">
        <f t="shared" si="42"/>
        <v>1</v>
      </c>
    </row>
    <row r="41">
      <c r="A41" s="3" t="s">
        <v>187</v>
      </c>
      <c r="B41" s="3" t="s">
        <v>45</v>
      </c>
      <c r="C41" s="3" t="s">
        <v>29</v>
      </c>
      <c r="D41" s="3" t="s">
        <v>188</v>
      </c>
      <c r="E41" s="11" t="s">
        <v>667</v>
      </c>
      <c r="F41" s="12" t="s">
        <v>668</v>
      </c>
      <c r="G41" s="10" t="s">
        <v>33</v>
      </c>
      <c r="H41" s="13">
        <v>1.0</v>
      </c>
      <c r="I41" s="13">
        <v>1.0</v>
      </c>
      <c r="J41" s="13">
        <v>1.0</v>
      </c>
      <c r="K41" s="13">
        <v>1.0</v>
      </c>
      <c r="L41" s="13">
        <v>0.5</v>
      </c>
      <c r="M41" s="13">
        <v>1.0</v>
      </c>
      <c r="N41" s="13">
        <v>1.0</v>
      </c>
      <c r="O41" s="13">
        <v>1.0</v>
      </c>
      <c r="P41" s="15">
        <f t="shared" si="5"/>
        <v>0.875</v>
      </c>
      <c r="U41" s="23">
        <f t="shared" ref="U41:V41" si="43">(H41+J41+L41+N41)/4</f>
        <v>0.875</v>
      </c>
      <c r="V41" s="23">
        <f t="shared" si="43"/>
        <v>1</v>
      </c>
    </row>
    <row r="42">
      <c r="A42" s="3" t="s">
        <v>191</v>
      </c>
      <c r="B42" s="3" t="s">
        <v>45</v>
      </c>
      <c r="C42" s="3" t="s">
        <v>29</v>
      </c>
      <c r="D42" s="3" t="s">
        <v>192</v>
      </c>
      <c r="E42" s="11" t="s">
        <v>669</v>
      </c>
      <c r="F42" s="12" t="s">
        <v>385</v>
      </c>
      <c r="G42" s="10" t="s">
        <v>33</v>
      </c>
      <c r="H42" s="13">
        <v>1.0</v>
      </c>
      <c r="I42" s="13">
        <v>1.0</v>
      </c>
      <c r="J42" s="13">
        <v>1.0</v>
      </c>
      <c r="K42" s="13">
        <v>1.0</v>
      </c>
      <c r="L42" s="13">
        <v>1.0</v>
      </c>
      <c r="M42" s="13">
        <v>0.0</v>
      </c>
      <c r="N42" s="13">
        <v>1.0</v>
      </c>
      <c r="O42" s="13">
        <v>0.0</v>
      </c>
      <c r="P42" s="15">
        <f t="shared" si="5"/>
        <v>0.5</v>
      </c>
      <c r="U42" s="23">
        <f t="shared" ref="U42:V42" si="44">(H42+J42+L42+N42)/4</f>
        <v>1</v>
      </c>
      <c r="V42" s="23">
        <f t="shared" si="44"/>
        <v>0.5</v>
      </c>
    </row>
    <row r="43">
      <c r="A43" s="3" t="s">
        <v>195</v>
      </c>
      <c r="B43" s="3" t="s">
        <v>45</v>
      </c>
      <c r="C43" s="3" t="s">
        <v>29</v>
      </c>
      <c r="D43" s="3" t="s">
        <v>196</v>
      </c>
      <c r="E43" s="11" t="s">
        <v>670</v>
      </c>
      <c r="F43" s="12" t="s">
        <v>671</v>
      </c>
      <c r="G43" s="10" t="s">
        <v>33</v>
      </c>
      <c r="H43" s="13">
        <v>1.0</v>
      </c>
      <c r="I43" s="13">
        <v>1.0</v>
      </c>
      <c r="J43" s="13">
        <v>1.0</v>
      </c>
      <c r="K43" s="13">
        <v>1.0</v>
      </c>
      <c r="L43" s="13">
        <v>1.0</v>
      </c>
      <c r="M43" s="13">
        <v>0.0</v>
      </c>
      <c r="N43" s="13">
        <v>1.0</v>
      </c>
      <c r="O43" s="13">
        <v>1.0</v>
      </c>
      <c r="P43" s="15">
        <f t="shared" si="5"/>
        <v>0.75</v>
      </c>
      <c r="U43" s="23">
        <f t="shared" ref="U43:V43" si="45">(H43+J43+L43+N43)/4</f>
        <v>1</v>
      </c>
      <c r="V43" s="23">
        <f t="shared" si="45"/>
        <v>0.75</v>
      </c>
    </row>
    <row r="44">
      <c r="A44" s="3" t="s">
        <v>199</v>
      </c>
      <c r="B44" s="3" t="s">
        <v>45</v>
      </c>
      <c r="C44" s="3" t="s">
        <v>29</v>
      </c>
      <c r="D44" s="3" t="s">
        <v>200</v>
      </c>
      <c r="E44" s="11" t="s">
        <v>672</v>
      </c>
      <c r="F44" s="12" t="s">
        <v>673</v>
      </c>
      <c r="G44" s="10" t="s">
        <v>33</v>
      </c>
      <c r="H44" s="13">
        <v>1.0</v>
      </c>
      <c r="I44" s="13">
        <v>1.0</v>
      </c>
      <c r="J44" s="13">
        <v>1.0</v>
      </c>
      <c r="K44" s="13">
        <v>1.0</v>
      </c>
      <c r="L44" s="13">
        <v>1.0</v>
      </c>
      <c r="M44" s="13">
        <v>1.0</v>
      </c>
      <c r="N44" s="13">
        <v>1.0</v>
      </c>
      <c r="O44" s="13">
        <v>1.0</v>
      </c>
      <c r="P44" s="15">
        <f t="shared" si="5"/>
        <v>1</v>
      </c>
      <c r="U44" s="23">
        <f t="shared" ref="U44:V44" si="46">(H44+J44+L44+N44)/4</f>
        <v>1</v>
      </c>
      <c r="V44" s="23">
        <f t="shared" si="46"/>
        <v>1</v>
      </c>
    </row>
    <row r="45">
      <c r="A45" s="3" t="s">
        <v>203</v>
      </c>
      <c r="B45" s="3" t="s">
        <v>45</v>
      </c>
      <c r="C45" s="3" t="s">
        <v>29</v>
      </c>
      <c r="D45" s="3" t="s">
        <v>204</v>
      </c>
      <c r="E45" s="11" t="s">
        <v>674</v>
      </c>
      <c r="F45" s="12" t="s">
        <v>675</v>
      </c>
      <c r="G45" s="10" t="s">
        <v>33</v>
      </c>
      <c r="H45" s="13">
        <v>1.0</v>
      </c>
      <c r="I45" s="13">
        <v>1.0</v>
      </c>
      <c r="J45" s="13">
        <v>1.0</v>
      </c>
      <c r="K45" s="13">
        <v>1.0</v>
      </c>
      <c r="L45" s="13">
        <v>1.0</v>
      </c>
      <c r="M45" s="13">
        <v>1.0</v>
      </c>
      <c r="N45" s="13">
        <v>1.0</v>
      </c>
      <c r="O45" s="13">
        <v>1.0</v>
      </c>
      <c r="P45" s="15">
        <f t="shared" si="5"/>
        <v>1</v>
      </c>
      <c r="U45" s="23">
        <f t="shared" ref="U45:V45" si="47">(H45+J45+L45+N45)/4</f>
        <v>1</v>
      </c>
      <c r="V45" s="23">
        <f t="shared" si="47"/>
        <v>1</v>
      </c>
    </row>
    <row r="46">
      <c r="A46" s="3" t="s">
        <v>207</v>
      </c>
      <c r="B46" s="3" t="s">
        <v>45</v>
      </c>
      <c r="C46" s="3" t="s">
        <v>29</v>
      </c>
      <c r="D46" s="3" t="s">
        <v>208</v>
      </c>
      <c r="E46" s="11" t="s">
        <v>676</v>
      </c>
      <c r="F46" s="12" t="s">
        <v>677</v>
      </c>
      <c r="G46" s="10" t="s">
        <v>33</v>
      </c>
      <c r="H46" s="13">
        <v>1.0</v>
      </c>
      <c r="I46" s="13">
        <v>1.0</v>
      </c>
      <c r="J46" s="13">
        <v>1.0</v>
      </c>
      <c r="K46" s="13">
        <v>1.0</v>
      </c>
      <c r="L46" s="13">
        <v>0.5</v>
      </c>
      <c r="M46" s="13">
        <v>1.0</v>
      </c>
      <c r="N46" s="13">
        <v>1.0</v>
      </c>
      <c r="O46" s="13">
        <v>1.0</v>
      </c>
      <c r="P46" s="15">
        <f t="shared" si="5"/>
        <v>0.875</v>
      </c>
      <c r="U46" s="23">
        <f t="shared" ref="U46:V46" si="48">(H46+J46+L46+N46)/4</f>
        <v>0.875</v>
      </c>
      <c r="V46" s="23">
        <f t="shared" si="48"/>
        <v>1</v>
      </c>
    </row>
    <row r="47">
      <c r="A47" s="3" t="s">
        <v>211</v>
      </c>
      <c r="B47" s="3" t="s">
        <v>45</v>
      </c>
      <c r="C47" s="3" t="s">
        <v>29</v>
      </c>
      <c r="D47" s="3" t="s">
        <v>212</v>
      </c>
      <c r="E47" s="11" t="s">
        <v>678</v>
      </c>
      <c r="F47" s="12" t="s">
        <v>679</v>
      </c>
      <c r="G47" s="10" t="s">
        <v>33</v>
      </c>
      <c r="H47" s="13">
        <v>1.0</v>
      </c>
      <c r="I47" s="13">
        <v>1.0</v>
      </c>
      <c r="J47" s="13">
        <v>1.0</v>
      </c>
      <c r="K47" s="13">
        <v>1.0</v>
      </c>
      <c r="L47" s="13">
        <v>1.0</v>
      </c>
      <c r="M47" s="13">
        <v>1.0</v>
      </c>
      <c r="N47" s="13">
        <v>1.0</v>
      </c>
      <c r="O47" s="13">
        <v>1.0</v>
      </c>
      <c r="P47" s="15">
        <f t="shared" si="5"/>
        <v>1</v>
      </c>
      <c r="U47" s="23">
        <f t="shared" ref="U47:V47" si="49">(H47+J47+L47+N47)/4</f>
        <v>1</v>
      </c>
      <c r="V47" s="23">
        <f t="shared" si="49"/>
        <v>1</v>
      </c>
    </row>
    <row r="48">
      <c r="A48" s="3" t="s">
        <v>215</v>
      </c>
      <c r="B48" s="3" t="s">
        <v>45</v>
      </c>
      <c r="C48" s="3" t="s">
        <v>29</v>
      </c>
      <c r="D48" s="3" t="s">
        <v>216</v>
      </c>
      <c r="E48" s="11" t="s">
        <v>680</v>
      </c>
      <c r="F48" s="12" t="s">
        <v>681</v>
      </c>
      <c r="G48" s="10" t="s">
        <v>33</v>
      </c>
      <c r="H48" s="13">
        <v>1.0</v>
      </c>
      <c r="I48" s="13">
        <v>1.0</v>
      </c>
      <c r="J48" s="13">
        <v>1.0</v>
      </c>
      <c r="K48" s="13">
        <v>1.0</v>
      </c>
      <c r="L48" s="13">
        <v>1.0</v>
      </c>
      <c r="M48" s="13">
        <v>1.0</v>
      </c>
      <c r="N48" s="13">
        <v>1.0</v>
      </c>
      <c r="O48" s="13">
        <v>1.0</v>
      </c>
      <c r="P48" s="15">
        <f t="shared" si="5"/>
        <v>1</v>
      </c>
      <c r="U48" s="23">
        <f t="shared" ref="U48:V48" si="50">(H48+J48+L48+N48)/4</f>
        <v>1</v>
      </c>
      <c r="V48" s="23">
        <f t="shared" si="50"/>
        <v>1</v>
      </c>
    </row>
    <row r="49">
      <c r="A49" s="3" t="s">
        <v>219</v>
      </c>
      <c r="B49" s="3" t="s">
        <v>45</v>
      </c>
      <c r="C49" s="3" t="s">
        <v>29</v>
      </c>
      <c r="D49" s="3" t="s">
        <v>220</v>
      </c>
      <c r="E49" s="11" t="s">
        <v>682</v>
      </c>
      <c r="F49" s="12" t="s">
        <v>683</v>
      </c>
      <c r="G49" s="10" t="s">
        <v>33</v>
      </c>
      <c r="H49" s="13">
        <v>1.0</v>
      </c>
      <c r="I49" s="13">
        <v>1.0</v>
      </c>
      <c r="J49" s="13">
        <v>1.0</v>
      </c>
      <c r="K49" s="13">
        <v>1.0</v>
      </c>
      <c r="L49" s="13">
        <v>1.0</v>
      </c>
      <c r="M49" s="13">
        <v>1.0</v>
      </c>
      <c r="N49" s="13">
        <v>1.0</v>
      </c>
      <c r="O49" s="13">
        <v>1.0</v>
      </c>
      <c r="P49" s="15">
        <f t="shared" si="5"/>
        <v>1</v>
      </c>
      <c r="U49" s="23">
        <f t="shared" ref="U49:V49" si="51">(H49+J49+L49+N49)/4</f>
        <v>1</v>
      </c>
      <c r="V49" s="23">
        <f t="shared" si="51"/>
        <v>1</v>
      </c>
    </row>
    <row r="50">
      <c r="A50" s="3" t="s">
        <v>223</v>
      </c>
      <c r="B50" s="3" t="s">
        <v>45</v>
      </c>
      <c r="C50" s="3" t="s">
        <v>29</v>
      </c>
      <c r="D50" s="3" t="s">
        <v>224</v>
      </c>
      <c r="E50" s="11" t="s">
        <v>684</v>
      </c>
      <c r="F50" s="12" t="s">
        <v>685</v>
      </c>
      <c r="G50" s="10" t="s">
        <v>33</v>
      </c>
      <c r="H50" s="13">
        <v>1.0</v>
      </c>
      <c r="I50" s="13">
        <v>1.0</v>
      </c>
      <c r="J50" s="13">
        <v>1.0</v>
      </c>
      <c r="K50" s="13">
        <v>1.0</v>
      </c>
      <c r="L50" s="13">
        <v>0.5</v>
      </c>
      <c r="M50" s="13">
        <v>1.0</v>
      </c>
      <c r="N50" s="13">
        <v>1.0</v>
      </c>
      <c r="O50" s="13">
        <v>1.0</v>
      </c>
      <c r="P50" s="15">
        <f t="shared" si="5"/>
        <v>0.875</v>
      </c>
      <c r="U50" s="23">
        <f t="shared" ref="U50:V50" si="52">(H50+J50+L50+N50)/4</f>
        <v>0.875</v>
      </c>
      <c r="V50" s="23">
        <f t="shared" si="52"/>
        <v>1</v>
      </c>
    </row>
    <row r="51">
      <c r="A51" s="3" t="s">
        <v>227</v>
      </c>
      <c r="B51" s="3" t="s">
        <v>45</v>
      </c>
      <c r="C51" s="3" t="s">
        <v>29</v>
      </c>
      <c r="D51" s="3" t="s">
        <v>228</v>
      </c>
      <c r="E51" s="11" t="s">
        <v>686</v>
      </c>
      <c r="F51" s="12" t="s">
        <v>687</v>
      </c>
      <c r="G51" s="10" t="s">
        <v>33</v>
      </c>
      <c r="H51" s="13">
        <v>1.0</v>
      </c>
      <c r="I51" s="13">
        <v>1.0</v>
      </c>
      <c r="J51" s="13">
        <v>1.0</v>
      </c>
      <c r="K51" s="13">
        <v>1.0</v>
      </c>
      <c r="L51" s="13">
        <v>0.5</v>
      </c>
      <c r="M51" s="13">
        <v>1.0</v>
      </c>
      <c r="N51" s="13">
        <v>1.0</v>
      </c>
      <c r="O51" s="13">
        <v>1.0</v>
      </c>
      <c r="P51" s="15">
        <f t="shared" si="5"/>
        <v>0.875</v>
      </c>
      <c r="U51" s="23">
        <f t="shared" ref="U51:V51" si="53">(H51+J51+L51+N51)/4</f>
        <v>0.875</v>
      </c>
      <c r="V51" s="23">
        <f t="shared" si="53"/>
        <v>1</v>
      </c>
    </row>
    <row r="52">
      <c r="A52" s="3" t="s">
        <v>231</v>
      </c>
      <c r="B52" s="3" t="s">
        <v>45</v>
      </c>
      <c r="C52" s="3" t="s">
        <v>29</v>
      </c>
      <c r="D52" s="3" t="s">
        <v>232</v>
      </c>
      <c r="E52" s="11" t="s">
        <v>688</v>
      </c>
      <c r="F52" s="12" t="s">
        <v>689</v>
      </c>
      <c r="G52" s="10" t="s">
        <v>33</v>
      </c>
      <c r="H52" s="13">
        <v>1.0</v>
      </c>
      <c r="I52" s="13">
        <v>1.0</v>
      </c>
      <c r="J52" s="13">
        <v>1.0</v>
      </c>
      <c r="K52" s="13">
        <v>1.0</v>
      </c>
      <c r="L52" s="13">
        <v>1.0</v>
      </c>
      <c r="M52" s="13">
        <v>1.0</v>
      </c>
      <c r="N52" s="13">
        <v>1.0</v>
      </c>
      <c r="O52" s="13">
        <v>1.0</v>
      </c>
      <c r="P52" s="15">
        <f t="shared" si="5"/>
        <v>1</v>
      </c>
      <c r="U52" s="23">
        <f t="shared" ref="U52:V52" si="54">(H52+J52+L52+N52)/4</f>
        <v>1</v>
      </c>
      <c r="V52" s="23">
        <f t="shared" si="54"/>
        <v>1</v>
      </c>
    </row>
    <row r="53">
      <c r="A53" s="3" t="s">
        <v>27</v>
      </c>
      <c r="B53" s="3" t="s">
        <v>45</v>
      </c>
      <c r="C53" s="3" t="s">
        <v>235</v>
      </c>
      <c r="D53" s="3" t="s">
        <v>30</v>
      </c>
      <c r="E53" s="11" t="s">
        <v>690</v>
      </c>
      <c r="F53" s="12" t="s">
        <v>596</v>
      </c>
      <c r="G53" s="10" t="s">
        <v>33</v>
      </c>
      <c r="H53" s="13">
        <v>1.0</v>
      </c>
      <c r="I53" s="13">
        <v>1.0</v>
      </c>
      <c r="J53" s="13">
        <v>1.0</v>
      </c>
      <c r="K53" s="13">
        <v>1.0</v>
      </c>
      <c r="L53" s="13">
        <v>1.0</v>
      </c>
      <c r="M53" s="13">
        <v>1.0</v>
      </c>
      <c r="N53" s="13">
        <v>1.0</v>
      </c>
      <c r="O53" s="13">
        <v>1.0</v>
      </c>
      <c r="P53" s="15">
        <f t="shared" si="5"/>
        <v>1</v>
      </c>
      <c r="U53" s="23">
        <f t="shared" ref="U53:V53" si="55">(H53+J53+L53+N53)/4</f>
        <v>1</v>
      </c>
      <c r="V53" s="23">
        <f t="shared" si="55"/>
        <v>1</v>
      </c>
    </row>
    <row r="54">
      <c r="A54" s="3" t="s">
        <v>35</v>
      </c>
      <c r="B54" s="3" t="s">
        <v>45</v>
      </c>
      <c r="C54" s="3" t="s">
        <v>235</v>
      </c>
      <c r="D54" s="3" t="s">
        <v>55</v>
      </c>
      <c r="E54" s="11" t="s">
        <v>691</v>
      </c>
      <c r="F54" s="12" t="s">
        <v>598</v>
      </c>
      <c r="G54" s="10" t="s">
        <v>33</v>
      </c>
      <c r="H54" s="13">
        <v>1.0</v>
      </c>
      <c r="I54" s="13">
        <v>1.0</v>
      </c>
      <c r="J54" s="13">
        <v>1.0</v>
      </c>
      <c r="K54" s="13">
        <v>1.0</v>
      </c>
      <c r="L54" s="13">
        <v>1.0</v>
      </c>
      <c r="M54" s="13">
        <v>1.0</v>
      </c>
      <c r="N54" s="13">
        <v>1.0</v>
      </c>
      <c r="O54" s="13">
        <v>1.0</v>
      </c>
      <c r="P54" s="15">
        <f t="shared" si="5"/>
        <v>1</v>
      </c>
      <c r="U54" s="23">
        <f t="shared" ref="U54:V54" si="56">(H54+J54+L54+N54)/4</f>
        <v>1</v>
      </c>
      <c r="V54" s="23">
        <f t="shared" si="56"/>
        <v>1</v>
      </c>
    </row>
    <row r="55">
      <c r="A55" s="3" t="s">
        <v>41</v>
      </c>
      <c r="B55" s="3" t="s">
        <v>45</v>
      </c>
      <c r="C55" s="3" t="s">
        <v>235</v>
      </c>
      <c r="D55" s="3" t="s">
        <v>42</v>
      </c>
      <c r="E55" s="11" t="s">
        <v>692</v>
      </c>
      <c r="F55" s="12" t="s">
        <v>600</v>
      </c>
      <c r="G55" s="10" t="s">
        <v>33</v>
      </c>
      <c r="H55" s="13">
        <v>1.0</v>
      </c>
      <c r="I55" s="13">
        <v>1.0</v>
      </c>
      <c r="J55" s="13">
        <v>1.0</v>
      </c>
      <c r="K55" s="13">
        <v>1.0</v>
      </c>
      <c r="L55" s="13">
        <v>1.0</v>
      </c>
      <c r="M55" s="13">
        <v>1.0</v>
      </c>
      <c r="N55" s="13">
        <v>1.0</v>
      </c>
      <c r="O55" s="13">
        <v>1.0</v>
      </c>
      <c r="P55" s="15">
        <f t="shared" si="5"/>
        <v>1</v>
      </c>
      <c r="U55" s="23">
        <f t="shared" ref="U55:V55" si="57">(H55+J55+L55+N55)/4</f>
        <v>1</v>
      </c>
      <c r="V55" s="23">
        <f t="shared" si="57"/>
        <v>1</v>
      </c>
    </row>
    <row r="56">
      <c r="A56" s="3" t="s">
        <v>46</v>
      </c>
      <c r="B56" s="3" t="s">
        <v>45</v>
      </c>
      <c r="C56" s="3" t="s">
        <v>235</v>
      </c>
      <c r="D56" s="3" t="s">
        <v>47</v>
      </c>
      <c r="E56" s="11" t="s">
        <v>693</v>
      </c>
      <c r="F56" s="12" t="s">
        <v>602</v>
      </c>
      <c r="G56" s="10" t="s">
        <v>33</v>
      </c>
      <c r="H56" s="13">
        <v>1.0</v>
      </c>
      <c r="I56" s="13">
        <v>1.0</v>
      </c>
      <c r="J56" s="13">
        <v>1.0</v>
      </c>
      <c r="K56" s="13">
        <v>1.0</v>
      </c>
      <c r="L56" s="13">
        <v>1.0</v>
      </c>
      <c r="M56" s="13">
        <v>1.0</v>
      </c>
      <c r="N56" s="13">
        <v>1.0</v>
      </c>
      <c r="O56" s="13">
        <v>1.0</v>
      </c>
      <c r="P56" s="15">
        <f t="shared" si="5"/>
        <v>1</v>
      </c>
      <c r="U56" s="23">
        <f t="shared" ref="U56:V56" si="58">(H56+J56+L56+N56)/4</f>
        <v>1</v>
      </c>
      <c r="V56" s="23">
        <f t="shared" si="58"/>
        <v>1</v>
      </c>
    </row>
    <row r="57">
      <c r="A57" s="3" t="s">
        <v>50</v>
      </c>
      <c r="B57" s="3" t="s">
        <v>45</v>
      </c>
      <c r="C57" s="3" t="s">
        <v>235</v>
      </c>
      <c r="D57" s="3" t="s">
        <v>51</v>
      </c>
      <c r="E57" s="11" t="s">
        <v>694</v>
      </c>
      <c r="F57" s="12" t="s">
        <v>604</v>
      </c>
      <c r="G57" s="10" t="s">
        <v>33</v>
      </c>
      <c r="H57" s="13">
        <v>1.0</v>
      </c>
      <c r="I57" s="13">
        <v>1.0</v>
      </c>
      <c r="J57" s="13">
        <v>1.0</v>
      </c>
      <c r="K57" s="13">
        <v>1.0</v>
      </c>
      <c r="L57" s="13">
        <v>1.0</v>
      </c>
      <c r="M57" s="13">
        <v>1.0</v>
      </c>
      <c r="N57" s="13">
        <v>1.0</v>
      </c>
      <c r="O57" s="13">
        <v>1.0</v>
      </c>
      <c r="P57" s="15">
        <f t="shared" si="5"/>
        <v>1</v>
      </c>
      <c r="U57" s="23">
        <f t="shared" ref="U57:V57" si="59">(H57+J57+L57+N57)/4</f>
        <v>1</v>
      </c>
      <c r="V57" s="23">
        <f t="shared" si="59"/>
        <v>1</v>
      </c>
    </row>
    <row r="58">
      <c r="A58" s="3" t="s">
        <v>54</v>
      </c>
      <c r="B58" s="3" t="s">
        <v>45</v>
      </c>
      <c r="C58" s="3" t="s">
        <v>235</v>
      </c>
      <c r="D58" s="3" t="s">
        <v>36</v>
      </c>
      <c r="E58" s="11" t="s">
        <v>695</v>
      </c>
      <c r="F58" s="12" t="s">
        <v>606</v>
      </c>
      <c r="G58" s="10" t="s">
        <v>33</v>
      </c>
      <c r="H58" s="13">
        <v>1.0</v>
      </c>
      <c r="I58" s="13">
        <v>1.0</v>
      </c>
      <c r="J58" s="13">
        <v>1.0</v>
      </c>
      <c r="K58" s="13">
        <v>1.0</v>
      </c>
      <c r="L58" s="13">
        <v>1.0</v>
      </c>
      <c r="M58" s="13">
        <v>1.0</v>
      </c>
      <c r="N58" s="13">
        <v>1.0</v>
      </c>
      <c r="O58" s="13">
        <v>1.0</v>
      </c>
      <c r="P58" s="15">
        <f t="shared" si="5"/>
        <v>1</v>
      </c>
      <c r="U58" s="23">
        <f t="shared" ref="U58:V58" si="60">(H58+J58+L58+N58)/4</f>
        <v>1</v>
      </c>
      <c r="V58" s="23">
        <f t="shared" si="60"/>
        <v>1</v>
      </c>
    </row>
    <row r="59">
      <c r="A59" s="3" t="s">
        <v>58</v>
      </c>
      <c r="B59" s="3" t="s">
        <v>45</v>
      </c>
      <c r="C59" s="3" t="s">
        <v>235</v>
      </c>
      <c r="D59" s="3" t="s">
        <v>59</v>
      </c>
      <c r="E59" s="11" t="s">
        <v>696</v>
      </c>
      <c r="F59" s="12" t="s">
        <v>608</v>
      </c>
      <c r="G59" s="10" t="s">
        <v>33</v>
      </c>
      <c r="H59" s="13">
        <v>1.0</v>
      </c>
      <c r="I59" s="13">
        <v>1.0</v>
      </c>
      <c r="J59" s="13">
        <v>1.0</v>
      </c>
      <c r="K59" s="13">
        <v>1.0</v>
      </c>
      <c r="L59" s="13">
        <v>1.0</v>
      </c>
      <c r="M59" s="13">
        <v>1.0</v>
      </c>
      <c r="N59" s="13">
        <v>1.0</v>
      </c>
      <c r="O59" s="13">
        <v>1.0</v>
      </c>
      <c r="P59" s="15">
        <f t="shared" si="5"/>
        <v>1</v>
      </c>
      <c r="U59" s="23">
        <f t="shared" ref="U59:V59" si="61">(H59+J59+L59+N59)/4</f>
        <v>1</v>
      </c>
      <c r="V59" s="23">
        <f t="shared" si="61"/>
        <v>1</v>
      </c>
    </row>
    <row r="60">
      <c r="A60" s="3" t="s">
        <v>62</v>
      </c>
      <c r="B60" s="3" t="s">
        <v>45</v>
      </c>
      <c r="C60" s="3" t="s">
        <v>235</v>
      </c>
      <c r="D60" s="3" t="s">
        <v>63</v>
      </c>
      <c r="E60" s="11" t="s">
        <v>697</v>
      </c>
      <c r="F60" s="12" t="s">
        <v>610</v>
      </c>
      <c r="G60" s="10" t="s">
        <v>33</v>
      </c>
      <c r="H60" s="13">
        <v>1.0</v>
      </c>
      <c r="I60" s="13">
        <v>1.0</v>
      </c>
      <c r="J60" s="13">
        <v>1.0</v>
      </c>
      <c r="K60" s="13">
        <v>1.0</v>
      </c>
      <c r="L60" s="13">
        <v>1.0</v>
      </c>
      <c r="M60" s="13">
        <v>1.0</v>
      </c>
      <c r="N60" s="13">
        <v>1.0</v>
      </c>
      <c r="O60" s="13">
        <v>1.0</v>
      </c>
      <c r="P60" s="15">
        <f t="shared" si="5"/>
        <v>1</v>
      </c>
      <c r="U60" s="23">
        <f t="shared" ref="U60:V60" si="62">(H60+J60+L60+N60)/4</f>
        <v>1</v>
      </c>
      <c r="V60" s="23">
        <f t="shared" si="62"/>
        <v>1</v>
      </c>
    </row>
    <row r="61">
      <c r="A61" s="3" t="s">
        <v>67</v>
      </c>
      <c r="B61" s="3" t="s">
        <v>45</v>
      </c>
      <c r="C61" s="3" t="s">
        <v>235</v>
      </c>
      <c r="D61" s="3" t="s">
        <v>68</v>
      </c>
      <c r="E61" s="11" t="s">
        <v>698</v>
      </c>
      <c r="F61" s="12" t="s">
        <v>612</v>
      </c>
      <c r="G61" s="10" t="s">
        <v>33</v>
      </c>
      <c r="H61" s="13">
        <v>1.0</v>
      </c>
      <c r="I61" s="13">
        <v>1.0</v>
      </c>
      <c r="J61" s="13">
        <v>1.0</v>
      </c>
      <c r="K61" s="13">
        <v>1.0</v>
      </c>
      <c r="L61" s="13">
        <v>1.0</v>
      </c>
      <c r="M61" s="13">
        <v>1.0</v>
      </c>
      <c r="N61" s="13">
        <v>1.0</v>
      </c>
      <c r="O61" s="13">
        <v>1.0</v>
      </c>
      <c r="P61" s="15">
        <f t="shared" si="5"/>
        <v>1</v>
      </c>
      <c r="U61" s="23">
        <f t="shared" ref="U61:V61" si="63">(H61+J61+L61+N61)/4</f>
        <v>1</v>
      </c>
      <c r="V61" s="23">
        <f t="shared" si="63"/>
        <v>1</v>
      </c>
    </row>
    <row r="62">
      <c r="A62" s="3" t="s">
        <v>71</v>
      </c>
      <c r="B62" s="3" t="s">
        <v>45</v>
      </c>
      <c r="C62" s="3" t="s">
        <v>235</v>
      </c>
      <c r="D62" s="3" t="s">
        <v>72</v>
      </c>
      <c r="E62" s="11" t="s">
        <v>699</v>
      </c>
      <c r="F62" s="12" t="s">
        <v>614</v>
      </c>
      <c r="G62" s="10" t="s">
        <v>33</v>
      </c>
      <c r="H62" s="13">
        <v>1.0</v>
      </c>
      <c r="I62" s="13">
        <v>1.0</v>
      </c>
      <c r="J62" s="13">
        <v>1.0</v>
      </c>
      <c r="K62" s="13">
        <v>1.0</v>
      </c>
      <c r="L62" s="13">
        <v>1.0</v>
      </c>
      <c r="M62" s="13">
        <v>1.0</v>
      </c>
      <c r="N62" s="13">
        <v>1.0</v>
      </c>
      <c r="O62" s="13">
        <v>1.0</v>
      </c>
      <c r="P62" s="15">
        <f t="shared" si="5"/>
        <v>1</v>
      </c>
      <c r="U62" s="23">
        <f t="shared" ref="U62:V62" si="64">(H62+J62+L62+N62)/4</f>
        <v>1</v>
      </c>
      <c r="V62" s="23">
        <f t="shared" si="64"/>
        <v>1</v>
      </c>
    </row>
    <row r="63">
      <c r="A63" s="3" t="s">
        <v>75</v>
      </c>
      <c r="B63" s="3" t="s">
        <v>45</v>
      </c>
      <c r="C63" s="3" t="s">
        <v>235</v>
      </c>
      <c r="D63" s="3" t="s">
        <v>76</v>
      </c>
      <c r="E63" s="11" t="s">
        <v>700</v>
      </c>
      <c r="F63" s="12" t="s">
        <v>616</v>
      </c>
      <c r="G63" s="10" t="s">
        <v>33</v>
      </c>
      <c r="H63" s="13">
        <v>1.0</v>
      </c>
      <c r="I63" s="13">
        <v>1.0</v>
      </c>
      <c r="J63" s="13">
        <v>1.0</v>
      </c>
      <c r="K63" s="13">
        <v>1.0</v>
      </c>
      <c r="L63" s="13">
        <v>1.0</v>
      </c>
      <c r="M63" s="13">
        <v>1.0</v>
      </c>
      <c r="N63" s="13">
        <v>1.0</v>
      </c>
      <c r="O63" s="13">
        <v>1.0</v>
      </c>
      <c r="P63" s="15">
        <f t="shared" si="5"/>
        <v>1</v>
      </c>
      <c r="U63" s="23">
        <f t="shared" ref="U63:V63" si="65">(H63+J63+L63+N63)/4</f>
        <v>1</v>
      </c>
      <c r="V63" s="23">
        <f t="shared" si="65"/>
        <v>1</v>
      </c>
    </row>
    <row r="64">
      <c r="A64" s="3" t="s">
        <v>79</v>
      </c>
      <c r="B64" s="3" t="s">
        <v>45</v>
      </c>
      <c r="C64" s="3" t="s">
        <v>235</v>
      </c>
      <c r="D64" s="3" t="s">
        <v>80</v>
      </c>
      <c r="E64" s="11" t="s">
        <v>701</v>
      </c>
      <c r="F64" s="12" t="s">
        <v>618</v>
      </c>
      <c r="G64" s="10" t="s">
        <v>33</v>
      </c>
      <c r="H64" s="13">
        <v>1.0</v>
      </c>
      <c r="I64" s="13">
        <v>1.0</v>
      </c>
      <c r="J64" s="13">
        <v>1.0</v>
      </c>
      <c r="K64" s="13">
        <v>1.0</v>
      </c>
      <c r="L64" s="13">
        <v>1.0</v>
      </c>
      <c r="M64" s="13">
        <v>1.0</v>
      </c>
      <c r="N64" s="13">
        <v>1.0</v>
      </c>
      <c r="O64" s="13">
        <v>1.0</v>
      </c>
      <c r="P64" s="15">
        <f t="shared" si="5"/>
        <v>1</v>
      </c>
      <c r="U64" s="23">
        <f t="shared" ref="U64:V64" si="66">(H64+J64+L64+N64)/4</f>
        <v>1</v>
      </c>
      <c r="V64" s="23">
        <f t="shared" si="66"/>
        <v>1</v>
      </c>
    </row>
    <row r="65">
      <c r="A65" s="3" t="s">
        <v>83</v>
      </c>
      <c r="B65" s="3" t="s">
        <v>45</v>
      </c>
      <c r="C65" s="3" t="s">
        <v>235</v>
      </c>
      <c r="D65" s="3" t="s">
        <v>84</v>
      </c>
      <c r="E65" s="11" t="s">
        <v>702</v>
      </c>
      <c r="F65" s="12" t="s">
        <v>620</v>
      </c>
      <c r="G65" s="10" t="s">
        <v>33</v>
      </c>
      <c r="H65" s="13">
        <v>1.0</v>
      </c>
      <c r="I65" s="13">
        <v>1.0</v>
      </c>
      <c r="J65" s="13">
        <v>1.0</v>
      </c>
      <c r="K65" s="13">
        <v>1.0</v>
      </c>
      <c r="L65" s="13">
        <v>1.0</v>
      </c>
      <c r="M65" s="13">
        <v>1.0</v>
      </c>
      <c r="N65" s="13">
        <v>1.0</v>
      </c>
      <c r="O65" s="13">
        <v>1.0</v>
      </c>
      <c r="P65" s="15">
        <f t="shared" si="5"/>
        <v>1</v>
      </c>
      <c r="U65" s="23">
        <f t="shared" ref="U65:V65" si="67">(H65+J65+L65+N65)/4</f>
        <v>1</v>
      </c>
      <c r="V65" s="23">
        <f t="shared" si="67"/>
        <v>1</v>
      </c>
    </row>
    <row r="66">
      <c r="A66" s="3" t="s">
        <v>87</v>
      </c>
      <c r="B66" s="3" t="s">
        <v>45</v>
      </c>
      <c r="C66" s="3" t="s">
        <v>235</v>
      </c>
      <c r="D66" s="3" t="s">
        <v>88</v>
      </c>
      <c r="E66" s="11" t="s">
        <v>703</v>
      </c>
      <c r="F66" s="12" t="s">
        <v>622</v>
      </c>
      <c r="G66" s="10" t="s">
        <v>33</v>
      </c>
      <c r="H66" s="13">
        <v>1.0</v>
      </c>
      <c r="I66" s="13">
        <v>1.0</v>
      </c>
      <c r="J66" s="13">
        <v>1.0</v>
      </c>
      <c r="K66" s="13">
        <v>1.0</v>
      </c>
      <c r="L66" s="13">
        <v>1.0</v>
      </c>
      <c r="M66" s="13">
        <v>1.0</v>
      </c>
      <c r="N66" s="13">
        <v>1.0</v>
      </c>
      <c r="O66" s="13">
        <v>1.0</v>
      </c>
      <c r="P66" s="15">
        <f t="shared" si="5"/>
        <v>1</v>
      </c>
      <c r="U66" s="23">
        <f t="shared" ref="U66:V66" si="68">(H66+J66+L66+N66)/4</f>
        <v>1</v>
      </c>
      <c r="V66" s="23">
        <f t="shared" si="68"/>
        <v>1</v>
      </c>
    </row>
    <row r="67">
      <c r="A67" s="3" t="s">
        <v>91</v>
      </c>
      <c r="B67" s="3" t="s">
        <v>45</v>
      </c>
      <c r="C67" s="3" t="s">
        <v>235</v>
      </c>
      <c r="D67" s="3" t="s">
        <v>92</v>
      </c>
      <c r="E67" s="11" t="s">
        <v>704</v>
      </c>
      <c r="F67" s="12" t="s">
        <v>624</v>
      </c>
      <c r="G67" s="10" t="s">
        <v>33</v>
      </c>
      <c r="H67" s="13">
        <v>1.0</v>
      </c>
      <c r="I67" s="13">
        <v>1.0</v>
      </c>
      <c r="J67" s="13">
        <v>1.0</v>
      </c>
      <c r="K67" s="13">
        <v>1.0</v>
      </c>
      <c r="L67" s="13">
        <v>1.0</v>
      </c>
      <c r="M67" s="13">
        <v>1.0</v>
      </c>
      <c r="N67" s="13">
        <v>1.0</v>
      </c>
      <c r="O67" s="13">
        <v>1.0</v>
      </c>
      <c r="P67" s="15">
        <f t="shared" si="5"/>
        <v>1</v>
      </c>
      <c r="U67" s="23">
        <f t="shared" ref="U67:V67" si="69">(H67+J67+L67+N67)/4</f>
        <v>1</v>
      </c>
      <c r="V67" s="23">
        <f t="shared" si="69"/>
        <v>1</v>
      </c>
    </row>
    <row r="68">
      <c r="A68" s="3" t="s">
        <v>95</v>
      </c>
      <c r="B68" s="3" t="s">
        <v>45</v>
      </c>
      <c r="C68" s="3" t="s">
        <v>235</v>
      </c>
      <c r="D68" s="3" t="s">
        <v>96</v>
      </c>
      <c r="E68" s="11" t="s">
        <v>705</v>
      </c>
      <c r="F68" s="12" t="s">
        <v>626</v>
      </c>
      <c r="G68" s="10" t="s">
        <v>33</v>
      </c>
      <c r="H68" s="13">
        <v>1.0</v>
      </c>
      <c r="I68" s="13">
        <v>1.0</v>
      </c>
      <c r="J68" s="13">
        <v>1.0</v>
      </c>
      <c r="K68" s="13">
        <v>1.0</v>
      </c>
      <c r="L68" s="13">
        <v>1.0</v>
      </c>
      <c r="M68" s="13">
        <v>1.0</v>
      </c>
      <c r="N68" s="13">
        <v>1.0</v>
      </c>
      <c r="O68" s="13">
        <v>1.0</v>
      </c>
      <c r="P68" s="15">
        <f t="shared" si="5"/>
        <v>1</v>
      </c>
      <c r="U68" s="23">
        <f t="shared" ref="U68:V68" si="70">(H68+J68+L68+N68)/4</f>
        <v>1</v>
      </c>
      <c r="V68" s="23">
        <f t="shared" si="70"/>
        <v>1</v>
      </c>
    </row>
    <row r="69">
      <c r="A69" s="3" t="s">
        <v>99</v>
      </c>
      <c r="B69" s="3" t="s">
        <v>45</v>
      </c>
      <c r="C69" s="3" t="s">
        <v>235</v>
      </c>
      <c r="D69" s="3" t="s">
        <v>100</v>
      </c>
      <c r="E69" s="11" t="s">
        <v>706</v>
      </c>
      <c r="F69" s="12" t="s">
        <v>628</v>
      </c>
      <c r="G69" s="10" t="s">
        <v>33</v>
      </c>
      <c r="H69" s="13">
        <v>1.0</v>
      </c>
      <c r="I69" s="13">
        <v>1.0</v>
      </c>
      <c r="J69" s="13">
        <v>1.0</v>
      </c>
      <c r="K69" s="13">
        <v>1.0</v>
      </c>
      <c r="L69" s="13">
        <v>1.0</v>
      </c>
      <c r="M69" s="13">
        <v>1.0</v>
      </c>
      <c r="N69" s="13">
        <v>1.0</v>
      </c>
      <c r="O69" s="13">
        <v>1.0</v>
      </c>
      <c r="P69" s="15">
        <f t="shared" si="5"/>
        <v>1</v>
      </c>
      <c r="U69" s="23">
        <f t="shared" ref="U69:V69" si="71">(H69+J69+L69+N69)/4</f>
        <v>1</v>
      </c>
      <c r="V69" s="23">
        <f t="shared" si="71"/>
        <v>1</v>
      </c>
    </row>
    <row r="70">
      <c r="A70" s="3" t="s">
        <v>103</v>
      </c>
      <c r="B70" s="3" t="s">
        <v>45</v>
      </c>
      <c r="C70" s="3" t="s">
        <v>235</v>
      </c>
      <c r="D70" s="3" t="s">
        <v>104</v>
      </c>
      <c r="E70" s="11" t="s">
        <v>707</v>
      </c>
      <c r="F70" s="12" t="s">
        <v>630</v>
      </c>
      <c r="G70" s="10" t="s">
        <v>33</v>
      </c>
      <c r="H70" s="13">
        <v>1.0</v>
      </c>
      <c r="I70" s="13">
        <v>1.0</v>
      </c>
      <c r="J70" s="13">
        <v>1.0</v>
      </c>
      <c r="K70" s="13">
        <v>1.0</v>
      </c>
      <c r="L70" s="13">
        <v>1.0</v>
      </c>
      <c r="M70" s="13">
        <v>1.0</v>
      </c>
      <c r="N70" s="13">
        <v>1.0</v>
      </c>
      <c r="O70" s="13">
        <v>1.0</v>
      </c>
      <c r="P70" s="15">
        <f t="shared" si="5"/>
        <v>1</v>
      </c>
      <c r="U70" s="23">
        <f t="shared" ref="U70:V70" si="72">(H70+J70+L70+N70)/4</f>
        <v>1</v>
      </c>
      <c r="V70" s="23">
        <f t="shared" si="72"/>
        <v>1</v>
      </c>
    </row>
    <row r="71">
      <c r="A71" s="3" t="s">
        <v>107</v>
      </c>
      <c r="B71" s="3" t="s">
        <v>45</v>
      </c>
      <c r="C71" s="3" t="s">
        <v>235</v>
      </c>
      <c r="D71" s="3" t="s">
        <v>108</v>
      </c>
      <c r="E71" s="11" t="s">
        <v>708</v>
      </c>
      <c r="F71" s="12" t="s">
        <v>403</v>
      </c>
      <c r="G71" s="10" t="s">
        <v>33</v>
      </c>
      <c r="H71" s="13">
        <v>1.0</v>
      </c>
      <c r="I71" s="13">
        <v>1.0</v>
      </c>
      <c r="J71" s="13">
        <v>1.0</v>
      </c>
      <c r="K71" s="13">
        <v>1.0</v>
      </c>
      <c r="L71" s="13">
        <v>1.0</v>
      </c>
      <c r="M71" s="13">
        <v>1.0</v>
      </c>
      <c r="N71" s="13">
        <v>1.0</v>
      </c>
      <c r="O71" s="13">
        <v>1.0</v>
      </c>
      <c r="P71" s="15">
        <f t="shared" si="5"/>
        <v>1</v>
      </c>
      <c r="U71" s="23">
        <f t="shared" ref="U71:V71" si="73">(H71+J71+L71+N71)/4</f>
        <v>1</v>
      </c>
      <c r="V71" s="23">
        <f t="shared" si="73"/>
        <v>1</v>
      </c>
    </row>
    <row r="72">
      <c r="A72" s="3" t="s">
        <v>111</v>
      </c>
      <c r="B72" s="3" t="s">
        <v>45</v>
      </c>
      <c r="C72" s="3" t="s">
        <v>235</v>
      </c>
      <c r="D72" s="3" t="s">
        <v>112</v>
      </c>
      <c r="E72" s="11" t="s">
        <v>709</v>
      </c>
      <c r="F72" s="12" t="s">
        <v>412</v>
      </c>
      <c r="G72" s="10" t="s">
        <v>33</v>
      </c>
      <c r="H72" s="13">
        <v>1.0</v>
      </c>
      <c r="I72" s="13">
        <v>1.0</v>
      </c>
      <c r="J72" s="13">
        <v>1.0</v>
      </c>
      <c r="K72" s="13">
        <v>1.0</v>
      </c>
      <c r="L72" s="13">
        <v>1.0</v>
      </c>
      <c r="M72" s="13">
        <v>1.0</v>
      </c>
      <c r="N72" s="13">
        <v>1.0</v>
      </c>
      <c r="O72" s="13">
        <v>1.0</v>
      </c>
      <c r="P72" s="15">
        <f t="shared" si="5"/>
        <v>1</v>
      </c>
      <c r="U72" s="23">
        <f t="shared" ref="U72:V72" si="74">(H72+J72+L72+N72)/4</f>
        <v>1</v>
      </c>
      <c r="V72" s="23">
        <f t="shared" si="74"/>
        <v>1</v>
      </c>
    </row>
    <row r="73">
      <c r="A73" s="3" t="s">
        <v>115</v>
      </c>
      <c r="B73" s="3" t="s">
        <v>45</v>
      </c>
      <c r="C73" s="3" t="s">
        <v>235</v>
      </c>
      <c r="D73" s="3" t="s">
        <v>116</v>
      </c>
      <c r="E73" s="11" t="s">
        <v>710</v>
      </c>
      <c r="F73" s="12" t="s">
        <v>634</v>
      </c>
      <c r="G73" s="10" t="s">
        <v>33</v>
      </c>
      <c r="H73" s="13">
        <v>1.0</v>
      </c>
      <c r="I73" s="13">
        <v>1.0</v>
      </c>
      <c r="J73" s="13">
        <v>1.0</v>
      </c>
      <c r="K73" s="13">
        <v>1.0</v>
      </c>
      <c r="L73" s="13">
        <v>1.0</v>
      </c>
      <c r="M73" s="13">
        <v>1.0</v>
      </c>
      <c r="N73" s="13">
        <v>1.0</v>
      </c>
      <c r="O73" s="13">
        <v>1.0</v>
      </c>
      <c r="P73" s="15">
        <f t="shared" si="5"/>
        <v>1</v>
      </c>
      <c r="U73" s="23">
        <f t="shared" ref="U73:V73" si="75">(H73+J73+L73+N73)/4</f>
        <v>1</v>
      </c>
      <c r="V73" s="23">
        <f t="shared" si="75"/>
        <v>1</v>
      </c>
    </row>
    <row r="74">
      <c r="A74" s="3" t="s">
        <v>119</v>
      </c>
      <c r="B74" s="3" t="s">
        <v>45</v>
      </c>
      <c r="C74" s="3" t="s">
        <v>235</v>
      </c>
      <c r="D74" s="3" t="s">
        <v>120</v>
      </c>
      <c r="E74" s="11" t="s">
        <v>711</v>
      </c>
      <c r="F74" s="12" t="s">
        <v>636</v>
      </c>
      <c r="G74" s="10" t="s">
        <v>33</v>
      </c>
      <c r="H74" s="13">
        <v>1.0</v>
      </c>
      <c r="I74" s="13">
        <v>1.0</v>
      </c>
      <c r="J74" s="13">
        <v>1.0</v>
      </c>
      <c r="K74" s="13">
        <v>1.0</v>
      </c>
      <c r="L74" s="13">
        <v>1.0</v>
      </c>
      <c r="M74" s="13">
        <v>1.0</v>
      </c>
      <c r="N74" s="13">
        <v>1.0</v>
      </c>
      <c r="O74" s="13">
        <v>1.0</v>
      </c>
      <c r="P74" s="15">
        <f t="shared" si="5"/>
        <v>1</v>
      </c>
      <c r="U74" s="23">
        <f t="shared" ref="U74:V74" si="76">(H74+J74+L74+N74)/4</f>
        <v>1</v>
      </c>
      <c r="V74" s="23">
        <f t="shared" si="76"/>
        <v>1</v>
      </c>
    </row>
    <row r="75">
      <c r="A75" s="3" t="s">
        <v>123</v>
      </c>
      <c r="B75" s="3" t="s">
        <v>45</v>
      </c>
      <c r="C75" s="3" t="s">
        <v>235</v>
      </c>
      <c r="D75" s="3" t="s">
        <v>124</v>
      </c>
      <c r="E75" s="11" t="s">
        <v>712</v>
      </c>
      <c r="F75" s="12" t="s">
        <v>638</v>
      </c>
      <c r="G75" s="10" t="s">
        <v>33</v>
      </c>
      <c r="H75" s="13">
        <v>1.0</v>
      </c>
      <c r="I75" s="13">
        <v>1.0</v>
      </c>
      <c r="J75" s="13">
        <v>1.0</v>
      </c>
      <c r="K75" s="13">
        <v>1.0</v>
      </c>
      <c r="L75" s="13">
        <v>1.0</v>
      </c>
      <c r="M75" s="13">
        <v>1.0</v>
      </c>
      <c r="N75" s="13">
        <v>1.0</v>
      </c>
      <c r="O75" s="13">
        <v>1.0</v>
      </c>
      <c r="P75" s="15">
        <f t="shared" si="5"/>
        <v>1</v>
      </c>
      <c r="U75" s="23">
        <f t="shared" ref="U75:V75" si="77">(H75+J75+L75+N75)/4</f>
        <v>1</v>
      </c>
      <c r="V75" s="23">
        <f t="shared" si="77"/>
        <v>1</v>
      </c>
    </row>
    <row r="76">
      <c r="A76" s="3" t="s">
        <v>127</v>
      </c>
      <c r="B76" s="3" t="s">
        <v>45</v>
      </c>
      <c r="C76" s="3" t="s">
        <v>235</v>
      </c>
      <c r="D76" s="3" t="s">
        <v>128</v>
      </c>
      <c r="E76" s="11" t="s">
        <v>713</v>
      </c>
      <c r="F76" s="12" t="s">
        <v>640</v>
      </c>
      <c r="G76" s="10" t="s">
        <v>33</v>
      </c>
      <c r="H76" s="13">
        <v>1.0</v>
      </c>
      <c r="I76" s="13">
        <v>1.0</v>
      </c>
      <c r="J76" s="13">
        <v>1.0</v>
      </c>
      <c r="K76" s="13">
        <v>1.0</v>
      </c>
      <c r="L76" s="13">
        <v>1.0</v>
      </c>
      <c r="M76" s="13">
        <v>1.0</v>
      </c>
      <c r="N76" s="13">
        <v>1.0</v>
      </c>
      <c r="O76" s="13">
        <v>1.0</v>
      </c>
      <c r="P76" s="15">
        <f t="shared" si="5"/>
        <v>1</v>
      </c>
      <c r="U76" s="23">
        <f t="shared" ref="U76:V76" si="78">(H76+J76+L76+N76)/4</f>
        <v>1</v>
      </c>
      <c r="V76" s="23">
        <f t="shared" si="78"/>
        <v>1</v>
      </c>
    </row>
    <row r="77">
      <c r="A77" s="3" t="s">
        <v>131</v>
      </c>
      <c r="B77" s="3" t="s">
        <v>45</v>
      </c>
      <c r="C77" s="3" t="s">
        <v>235</v>
      </c>
      <c r="D77" s="3" t="s">
        <v>132</v>
      </c>
      <c r="E77" s="11" t="s">
        <v>714</v>
      </c>
      <c r="F77" s="12" t="s">
        <v>642</v>
      </c>
      <c r="G77" s="10" t="s">
        <v>33</v>
      </c>
      <c r="H77" s="13">
        <v>1.0</v>
      </c>
      <c r="I77" s="13">
        <v>1.0</v>
      </c>
      <c r="J77" s="13">
        <v>1.0</v>
      </c>
      <c r="K77" s="13">
        <v>1.0</v>
      </c>
      <c r="L77" s="13">
        <v>1.0</v>
      </c>
      <c r="M77" s="13">
        <v>1.0</v>
      </c>
      <c r="N77" s="13">
        <v>1.0</v>
      </c>
      <c r="O77" s="13">
        <v>1.0</v>
      </c>
      <c r="P77" s="15">
        <f t="shared" si="5"/>
        <v>1</v>
      </c>
      <c r="U77" s="23">
        <f t="shared" ref="U77:V77" si="79">(H77+J77+L77+N77)/4</f>
        <v>1</v>
      </c>
      <c r="V77" s="23">
        <f t="shared" si="79"/>
        <v>1</v>
      </c>
    </row>
    <row r="78">
      <c r="A78" s="3" t="s">
        <v>135</v>
      </c>
      <c r="B78" s="3" t="s">
        <v>45</v>
      </c>
      <c r="C78" s="3" t="s">
        <v>235</v>
      </c>
      <c r="D78" s="3" t="s">
        <v>136</v>
      </c>
      <c r="E78" s="11" t="s">
        <v>715</v>
      </c>
      <c r="F78" s="12" t="s">
        <v>644</v>
      </c>
      <c r="G78" s="10" t="s">
        <v>33</v>
      </c>
      <c r="H78" s="13">
        <v>1.0</v>
      </c>
      <c r="I78" s="13">
        <v>1.0</v>
      </c>
      <c r="J78" s="13">
        <v>1.0</v>
      </c>
      <c r="K78" s="13">
        <v>1.0</v>
      </c>
      <c r="L78" s="13">
        <v>1.0</v>
      </c>
      <c r="M78" s="13">
        <v>1.0</v>
      </c>
      <c r="N78" s="13">
        <v>1.0</v>
      </c>
      <c r="O78" s="13">
        <v>1.0</v>
      </c>
      <c r="P78" s="15">
        <f t="shared" si="5"/>
        <v>1</v>
      </c>
      <c r="U78" s="23">
        <f t="shared" ref="U78:V78" si="80">(H78+J78+L78+N78)/4</f>
        <v>1</v>
      </c>
      <c r="V78" s="23">
        <f t="shared" si="80"/>
        <v>1</v>
      </c>
    </row>
    <row r="79">
      <c r="A79" s="3" t="s">
        <v>139</v>
      </c>
      <c r="B79" s="3" t="s">
        <v>45</v>
      </c>
      <c r="C79" s="3" t="s">
        <v>235</v>
      </c>
      <c r="D79" s="3" t="s">
        <v>140</v>
      </c>
      <c r="E79" s="11" t="s">
        <v>716</v>
      </c>
      <c r="F79" s="12" t="s">
        <v>646</v>
      </c>
      <c r="G79" s="10" t="s">
        <v>39</v>
      </c>
      <c r="H79" s="13">
        <v>1.0</v>
      </c>
      <c r="I79" s="13">
        <v>1.0</v>
      </c>
      <c r="J79" s="13">
        <v>0.5</v>
      </c>
      <c r="K79" s="13">
        <v>0.5</v>
      </c>
      <c r="L79" s="13">
        <v>1.0</v>
      </c>
      <c r="M79" s="13">
        <v>0.5</v>
      </c>
      <c r="N79" s="13">
        <v>1.0</v>
      </c>
      <c r="O79" s="13">
        <v>1.0</v>
      </c>
      <c r="P79" s="15">
        <f t="shared" si="5"/>
        <v>0.875</v>
      </c>
      <c r="U79" s="23">
        <f t="shared" ref="U79:V79" si="81">(H79+J79+L79+N79)/4</f>
        <v>0.875</v>
      </c>
      <c r="V79" s="23">
        <f t="shared" si="81"/>
        <v>0.75</v>
      </c>
    </row>
    <row r="80">
      <c r="A80" s="3" t="s">
        <v>143</v>
      </c>
      <c r="B80" s="3" t="s">
        <v>45</v>
      </c>
      <c r="C80" s="3" t="s">
        <v>235</v>
      </c>
      <c r="D80" s="3" t="s">
        <v>144</v>
      </c>
      <c r="E80" s="11" t="s">
        <v>717</v>
      </c>
      <c r="F80" s="12" t="s">
        <v>648</v>
      </c>
      <c r="G80" s="10" t="s">
        <v>33</v>
      </c>
      <c r="H80" s="13">
        <v>1.0</v>
      </c>
      <c r="I80" s="13">
        <v>1.0</v>
      </c>
      <c r="J80" s="13">
        <v>1.0</v>
      </c>
      <c r="K80" s="13">
        <v>1.0</v>
      </c>
      <c r="L80" s="13">
        <v>1.0</v>
      </c>
      <c r="M80" s="13">
        <v>1.0</v>
      </c>
      <c r="N80" s="13">
        <v>1.0</v>
      </c>
      <c r="O80" s="13">
        <v>1.0</v>
      </c>
      <c r="P80" s="15">
        <f t="shared" si="5"/>
        <v>1</v>
      </c>
      <c r="U80" s="23">
        <f t="shared" ref="U80:V80" si="82">(H80+J80+L80+N80)/4</f>
        <v>1</v>
      </c>
      <c r="V80" s="23">
        <f t="shared" si="82"/>
        <v>1</v>
      </c>
    </row>
    <row r="81">
      <c r="A81" s="3" t="s">
        <v>147</v>
      </c>
      <c r="B81" s="3" t="s">
        <v>45</v>
      </c>
      <c r="C81" s="3" t="s">
        <v>235</v>
      </c>
      <c r="D81" s="3" t="s">
        <v>148</v>
      </c>
      <c r="E81" s="11" t="s">
        <v>718</v>
      </c>
      <c r="F81" s="12" t="s">
        <v>650</v>
      </c>
      <c r="G81" s="10" t="s">
        <v>33</v>
      </c>
      <c r="H81" s="13">
        <v>1.0</v>
      </c>
      <c r="I81" s="13">
        <v>1.0</v>
      </c>
      <c r="J81" s="13">
        <v>1.0</v>
      </c>
      <c r="K81" s="13">
        <v>1.0</v>
      </c>
      <c r="L81" s="13">
        <v>1.0</v>
      </c>
      <c r="M81" s="13">
        <v>1.0</v>
      </c>
      <c r="N81" s="13">
        <v>1.0</v>
      </c>
      <c r="O81" s="13">
        <v>1.0</v>
      </c>
      <c r="P81" s="15">
        <f t="shared" si="5"/>
        <v>1</v>
      </c>
      <c r="U81" s="23">
        <f t="shared" ref="U81:V81" si="83">(H81+J81+L81+N81)/4</f>
        <v>1</v>
      </c>
      <c r="V81" s="23">
        <f t="shared" si="83"/>
        <v>1</v>
      </c>
    </row>
    <row r="82">
      <c r="A82" s="3" t="s">
        <v>151</v>
      </c>
      <c r="B82" s="3" t="s">
        <v>45</v>
      </c>
      <c r="C82" s="3" t="s">
        <v>235</v>
      </c>
      <c r="D82" s="3" t="s">
        <v>152</v>
      </c>
      <c r="E82" s="11" t="s">
        <v>719</v>
      </c>
      <c r="F82" s="12" t="s">
        <v>652</v>
      </c>
      <c r="G82" s="10" t="s">
        <v>33</v>
      </c>
      <c r="H82" s="13">
        <v>1.0</v>
      </c>
      <c r="I82" s="13">
        <v>1.0</v>
      </c>
      <c r="J82" s="13">
        <v>1.0</v>
      </c>
      <c r="K82" s="13">
        <v>1.0</v>
      </c>
      <c r="L82" s="13">
        <v>1.0</v>
      </c>
      <c r="M82" s="13">
        <v>1.0</v>
      </c>
      <c r="N82" s="13">
        <v>1.0</v>
      </c>
      <c r="O82" s="13">
        <v>1.0</v>
      </c>
      <c r="P82" s="15">
        <f t="shared" si="5"/>
        <v>1</v>
      </c>
      <c r="U82" s="23">
        <f t="shared" ref="U82:V82" si="84">(H82+J82+L82+N82)/4</f>
        <v>1</v>
      </c>
      <c r="V82" s="23">
        <f t="shared" si="84"/>
        <v>1</v>
      </c>
    </row>
    <row r="83">
      <c r="A83" s="3" t="s">
        <v>155</v>
      </c>
      <c r="B83" s="3" t="s">
        <v>45</v>
      </c>
      <c r="C83" s="3" t="s">
        <v>235</v>
      </c>
      <c r="D83" s="3" t="s">
        <v>156</v>
      </c>
      <c r="E83" s="11" t="s">
        <v>720</v>
      </c>
      <c r="F83" s="12" t="s">
        <v>654</v>
      </c>
      <c r="G83" s="10" t="s">
        <v>33</v>
      </c>
      <c r="H83" s="13">
        <v>1.0</v>
      </c>
      <c r="I83" s="13">
        <v>1.0</v>
      </c>
      <c r="J83" s="13">
        <v>1.0</v>
      </c>
      <c r="K83" s="13">
        <v>1.0</v>
      </c>
      <c r="L83" s="13">
        <v>1.0</v>
      </c>
      <c r="M83" s="13">
        <v>1.0</v>
      </c>
      <c r="N83" s="13">
        <v>1.0</v>
      </c>
      <c r="O83" s="13">
        <v>1.0</v>
      </c>
      <c r="P83" s="15">
        <f t="shared" si="5"/>
        <v>1</v>
      </c>
      <c r="U83" s="23">
        <f t="shared" ref="U83:V83" si="85">(H83+J83+L83+N83)/4</f>
        <v>1</v>
      </c>
      <c r="V83" s="23">
        <f t="shared" si="85"/>
        <v>1</v>
      </c>
    </row>
    <row r="84">
      <c r="A84" s="3" t="s">
        <v>159</v>
      </c>
      <c r="B84" s="3" t="s">
        <v>45</v>
      </c>
      <c r="C84" s="3" t="s">
        <v>235</v>
      </c>
      <c r="D84" s="3" t="s">
        <v>160</v>
      </c>
      <c r="E84" s="11" t="s">
        <v>721</v>
      </c>
      <c r="F84" s="12" t="s">
        <v>656</v>
      </c>
      <c r="G84" s="10" t="s">
        <v>33</v>
      </c>
      <c r="H84" s="13">
        <v>1.0</v>
      </c>
      <c r="I84" s="13">
        <v>1.0</v>
      </c>
      <c r="J84" s="13">
        <v>1.0</v>
      </c>
      <c r="K84" s="13">
        <v>1.0</v>
      </c>
      <c r="L84" s="13">
        <v>1.0</v>
      </c>
      <c r="M84" s="13">
        <v>1.0</v>
      </c>
      <c r="N84" s="13">
        <v>1.0</v>
      </c>
      <c r="O84" s="13">
        <v>1.0</v>
      </c>
      <c r="P84" s="15">
        <f t="shared" si="5"/>
        <v>1</v>
      </c>
      <c r="U84" s="23">
        <f t="shared" ref="U84:V84" si="86">(H84+J84+L84+N84)/4</f>
        <v>1</v>
      </c>
      <c r="V84" s="23">
        <f t="shared" si="86"/>
        <v>1</v>
      </c>
    </row>
    <row r="85">
      <c r="A85" s="3" t="s">
        <v>163</v>
      </c>
      <c r="B85" s="3" t="s">
        <v>45</v>
      </c>
      <c r="C85" s="3" t="s">
        <v>235</v>
      </c>
      <c r="D85" s="3" t="s">
        <v>164</v>
      </c>
      <c r="E85" s="11" t="s">
        <v>722</v>
      </c>
      <c r="F85" s="12" t="s">
        <v>658</v>
      </c>
      <c r="G85" s="10" t="s">
        <v>33</v>
      </c>
      <c r="H85" s="13">
        <v>1.0</v>
      </c>
      <c r="I85" s="13">
        <v>1.0</v>
      </c>
      <c r="J85" s="13">
        <v>1.0</v>
      </c>
      <c r="K85" s="13">
        <v>1.0</v>
      </c>
      <c r="L85" s="13">
        <v>1.0</v>
      </c>
      <c r="M85" s="13">
        <v>1.0</v>
      </c>
      <c r="N85" s="13">
        <v>1.0</v>
      </c>
      <c r="O85" s="13">
        <v>1.0</v>
      </c>
      <c r="P85" s="15">
        <f t="shared" si="5"/>
        <v>1</v>
      </c>
      <c r="U85" s="23">
        <f t="shared" ref="U85:V85" si="87">(H85+J85+L85+N85)/4</f>
        <v>1</v>
      </c>
      <c r="V85" s="23">
        <f t="shared" si="87"/>
        <v>1</v>
      </c>
    </row>
    <row r="86">
      <c r="A86" s="3" t="s">
        <v>167</v>
      </c>
      <c r="B86" s="3" t="s">
        <v>45</v>
      </c>
      <c r="C86" s="3" t="s">
        <v>235</v>
      </c>
      <c r="D86" s="3" t="s">
        <v>168</v>
      </c>
      <c r="E86" s="11" t="s">
        <v>723</v>
      </c>
      <c r="F86" s="12" t="s">
        <v>391</v>
      </c>
      <c r="G86" s="10" t="s">
        <v>33</v>
      </c>
      <c r="H86" s="13">
        <v>1.0</v>
      </c>
      <c r="I86" s="13">
        <v>1.0</v>
      </c>
      <c r="J86" s="13">
        <v>1.0</v>
      </c>
      <c r="K86" s="13">
        <v>1.0</v>
      </c>
      <c r="L86" s="13">
        <v>1.0</v>
      </c>
      <c r="M86" s="13">
        <v>1.0</v>
      </c>
      <c r="N86" s="13">
        <v>1.0</v>
      </c>
      <c r="O86" s="13">
        <v>1.0</v>
      </c>
      <c r="P86" s="15">
        <f t="shared" si="5"/>
        <v>1</v>
      </c>
      <c r="U86" s="23">
        <f t="shared" ref="U86:V86" si="88">(H86+J86+L86+N86)/4</f>
        <v>1</v>
      </c>
      <c r="V86" s="23">
        <f t="shared" si="88"/>
        <v>1</v>
      </c>
    </row>
    <row r="87">
      <c r="A87" s="3" t="s">
        <v>171</v>
      </c>
      <c r="B87" s="3" t="s">
        <v>45</v>
      </c>
      <c r="C87" s="3" t="s">
        <v>235</v>
      </c>
      <c r="D87" s="3" t="s">
        <v>172</v>
      </c>
      <c r="E87" s="11" t="s">
        <v>724</v>
      </c>
      <c r="F87" s="12" t="s">
        <v>364</v>
      </c>
      <c r="G87" s="10" t="s">
        <v>33</v>
      </c>
      <c r="H87" s="13">
        <v>1.0</v>
      </c>
      <c r="I87" s="13">
        <v>1.0</v>
      </c>
      <c r="J87" s="13">
        <v>1.0</v>
      </c>
      <c r="K87" s="13">
        <v>1.0</v>
      </c>
      <c r="L87" s="13">
        <v>1.0</v>
      </c>
      <c r="M87" s="13">
        <v>1.0</v>
      </c>
      <c r="N87" s="13">
        <v>1.0</v>
      </c>
      <c r="O87" s="13">
        <v>1.0</v>
      </c>
      <c r="P87" s="15">
        <f t="shared" si="5"/>
        <v>1</v>
      </c>
      <c r="U87" s="23">
        <f t="shared" ref="U87:V87" si="89">(H87+J87+L87+N87)/4</f>
        <v>1</v>
      </c>
      <c r="V87" s="23">
        <f t="shared" si="89"/>
        <v>1</v>
      </c>
    </row>
    <row r="88">
      <c r="A88" s="3" t="s">
        <v>175</v>
      </c>
      <c r="B88" s="3" t="s">
        <v>45</v>
      </c>
      <c r="C88" s="3" t="s">
        <v>235</v>
      </c>
      <c r="D88" s="3" t="s">
        <v>176</v>
      </c>
      <c r="E88" s="11" t="s">
        <v>725</v>
      </c>
      <c r="F88" s="12" t="s">
        <v>662</v>
      </c>
      <c r="G88" s="10" t="s">
        <v>33</v>
      </c>
      <c r="H88" s="13">
        <v>1.0</v>
      </c>
      <c r="I88" s="13">
        <v>1.0</v>
      </c>
      <c r="J88" s="13">
        <v>1.0</v>
      </c>
      <c r="K88" s="13">
        <v>1.0</v>
      </c>
      <c r="L88" s="13">
        <v>1.0</v>
      </c>
      <c r="M88" s="13">
        <v>1.0</v>
      </c>
      <c r="N88" s="13">
        <v>1.0</v>
      </c>
      <c r="O88" s="13">
        <v>1.0</v>
      </c>
      <c r="P88" s="15">
        <f t="shared" si="5"/>
        <v>1</v>
      </c>
      <c r="U88" s="23">
        <f t="shared" ref="U88:V88" si="90">(H88+J88+L88+N88)/4</f>
        <v>1</v>
      </c>
      <c r="V88" s="23">
        <f t="shared" si="90"/>
        <v>1</v>
      </c>
    </row>
    <row r="89">
      <c r="A89" s="3" t="s">
        <v>179</v>
      </c>
      <c r="B89" s="3" t="s">
        <v>45</v>
      </c>
      <c r="C89" s="3" t="s">
        <v>235</v>
      </c>
      <c r="D89" s="3" t="s">
        <v>180</v>
      </c>
      <c r="E89" s="11" t="s">
        <v>726</v>
      </c>
      <c r="F89" s="12" t="s">
        <v>664</v>
      </c>
      <c r="G89" s="10" t="s">
        <v>33</v>
      </c>
      <c r="H89" s="13">
        <v>1.0</v>
      </c>
      <c r="I89" s="13">
        <v>1.0</v>
      </c>
      <c r="J89" s="13">
        <v>1.0</v>
      </c>
      <c r="K89" s="13">
        <v>1.0</v>
      </c>
      <c r="L89" s="13">
        <v>1.0</v>
      </c>
      <c r="M89" s="13">
        <v>1.0</v>
      </c>
      <c r="N89" s="13">
        <v>1.0</v>
      </c>
      <c r="O89" s="13">
        <v>1.0</v>
      </c>
      <c r="P89" s="15">
        <f t="shared" si="5"/>
        <v>1</v>
      </c>
      <c r="U89" s="23">
        <f t="shared" ref="U89:V89" si="91">(H89+J89+L89+N89)/4</f>
        <v>1</v>
      </c>
      <c r="V89" s="23">
        <f t="shared" si="91"/>
        <v>1</v>
      </c>
    </row>
    <row r="90">
      <c r="A90" s="3" t="s">
        <v>183</v>
      </c>
      <c r="B90" s="3" t="s">
        <v>45</v>
      </c>
      <c r="C90" s="3" t="s">
        <v>235</v>
      </c>
      <c r="D90" s="3" t="s">
        <v>184</v>
      </c>
      <c r="E90" s="11" t="s">
        <v>727</v>
      </c>
      <c r="F90" s="12" t="s">
        <v>666</v>
      </c>
      <c r="G90" s="10" t="s">
        <v>39</v>
      </c>
      <c r="H90" s="13">
        <v>0.5</v>
      </c>
      <c r="I90" s="13">
        <v>0.5</v>
      </c>
      <c r="J90" s="13">
        <v>0.5</v>
      </c>
      <c r="K90" s="13">
        <v>0.5</v>
      </c>
      <c r="L90" s="13">
        <v>0.0</v>
      </c>
      <c r="M90" s="13">
        <v>0.0</v>
      </c>
      <c r="N90" s="13">
        <v>0.5</v>
      </c>
      <c r="O90" s="13">
        <v>0.0</v>
      </c>
      <c r="P90" s="15">
        <f t="shared" si="5"/>
        <v>0.875</v>
      </c>
      <c r="U90" s="23">
        <f t="shared" ref="U90:V90" si="92">(H90+J90+L90+N90)/4</f>
        <v>0.375</v>
      </c>
      <c r="V90" s="23">
        <f t="shared" si="92"/>
        <v>0.25</v>
      </c>
    </row>
    <row r="91">
      <c r="A91" s="3" t="s">
        <v>187</v>
      </c>
      <c r="B91" s="3" t="s">
        <v>45</v>
      </c>
      <c r="C91" s="3" t="s">
        <v>235</v>
      </c>
      <c r="D91" s="3" t="s">
        <v>188</v>
      </c>
      <c r="E91" s="11" t="s">
        <v>728</v>
      </c>
      <c r="F91" s="12" t="s">
        <v>668</v>
      </c>
      <c r="G91" s="10" t="s">
        <v>33</v>
      </c>
      <c r="H91" s="13">
        <v>1.0</v>
      </c>
      <c r="I91" s="13">
        <v>1.0</v>
      </c>
      <c r="J91" s="13">
        <v>1.0</v>
      </c>
      <c r="K91" s="13">
        <v>1.0</v>
      </c>
      <c r="L91" s="13">
        <v>1.0</v>
      </c>
      <c r="M91" s="13">
        <v>1.0</v>
      </c>
      <c r="N91" s="13">
        <v>1.0</v>
      </c>
      <c r="O91" s="13">
        <v>1.0</v>
      </c>
      <c r="P91" s="15">
        <f t="shared" si="5"/>
        <v>1</v>
      </c>
      <c r="U91" s="23">
        <f t="shared" ref="U91:V91" si="93">(H91+J91+L91+N91)/4</f>
        <v>1</v>
      </c>
      <c r="V91" s="23">
        <f t="shared" si="93"/>
        <v>1</v>
      </c>
    </row>
    <row r="92">
      <c r="A92" s="3" t="s">
        <v>191</v>
      </c>
      <c r="B92" s="3" t="s">
        <v>45</v>
      </c>
      <c r="C92" s="3" t="s">
        <v>235</v>
      </c>
      <c r="D92" s="3" t="s">
        <v>192</v>
      </c>
      <c r="E92" s="11" t="s">
        <v>729</v>
      </c>
      <c r="F92" s="12" t="s">
        <v>385</v>
      </c>
      <c r="G92" s="10" t="s">
        <v>33</v>
      </c>
      <c r="H92" s="13">
        <v>1.0</v>
      </c>
      <c r="I92" s="13">
        <v>1.0</v>
      </c>
      <c r="J92" s="13">
        <v>1.0</v>
      </c>
      <c r="K92" s="13">
        <v>1.0</v>
      </c>
      <c r="L92" s="13">
        <v>1.0</v>
      </c>
      <c r="M92" s="13">
        <v>1.0</v>
      </c>
      <c r="N92" s="13">
        <v>1.0</v>
      </c>
      <c r="O92" s="13">
        <v>1.0</v>
      </c>
      <c r="P92" s="15">
        <f t="shared" si="5"/>
        <v>1</v>
      </c>
      <c r="U92" s="23">
        <f t="shared" ref="U92:V92" si="94">(H92+J92+L92+N92)/4</f>
        <v>1</v>
      </c>
      <c r="V92" s="23">
        <f t="shared" si="94"/>
        <v>1</v>
      </c>
    </row>
    <row r="93">
      <c r="A93" s="3" t="s">
        <v>195</v>
      </c>
      <c r="B93" s="3" t="s">
        <v>45</v>
      </c>
      <c r="C93" s="3" t="s">
        <v>235</v>
      </c>
      <c r="D93" s="3" t="s">
        <v>196</v>
      </c>
      <c r="E93" s="11" t="s">
        <v>730</v>
      </c>
      <c r="F93" s="12" t="s">
        <v>671</v>
      </c>
      <c r="G93" s="10" t="s">
        <v>33</v>
      </c>
      <c r="H93" s="13">
        <v>1.0</v>
      </c>
      <c r="I93" s="13">
        <v>1.0</v>
      </c>
      <c r="J93" s="13">
        <v>1.0</v>
      </c>
      <c r="K93" s="13">
        <v>1.0</v>
      </c>
      <c r="L93" s="13">
        <v>1.0</v>
      </c>
      <c r="M93" s="13">
        <v>1.0</v>
      </c>
      <c r="N93" s="13">
        <v>1.0</v>
      </c>
      <c r="O93" s="13">
        <v>1.0</v>
      </c>
      <c r="P93" s="15">
        <f t="shared" si="5"/>
        <v>1</v>
      </c>
      <c r="U93" s="23">
        <f t="shared" ref="U93:V93" si="95">(H93+J93+L93+N93)/4</f>
        <v>1</v>
      </c>
      <c r="V93" s="23">
        <f t="shared" si="95"/>
        <v>1</v>
      </c>
    </row>
    <row r="94">
      <c r="A94" s="3" t="s">
        <v>199</v>
      </c>
      <c r="B94" s="3" t="s">
        <v>45</v>
      </c>
      <c r="C94" s="3" t="s">
        <v>235</v>
      </c>
      <c r="D94" s="3" t="s">
        <v>200</v>
      </c>
      <c r="E94" s="11" t="s">
        <v>731</v>
      </c>
      <c r="F94" s="12" t="s">
        <v>673</v>
      </c>
      <c r="G94" s="10" t="s">
        <v>39</v>
      </c>
      <c r="H94" s="13">
        <v>1.0</v>
      </c>
      <c r="I94" s="13">
        <v>0.5</v>
      </c>
      <c r="J94" s="13">
        <v>1.0</v>
      </c>
      <c r="K94" s="13">
        <v>1.0</v>
      </c>
      <c r="L94" s="13">
        <v>0.0</v>
      </c>
      <c r="M94" s="13">
        <v>0.0</v>
      </c>
      <c r="N94" s="13">
        <v>1.0</v>
      </c>
      <c r="O94" s="13">
        <v>1.0</v>
      </c>
      <c r="P94" s="15">
        <f t="shared" si="5"/>
        <v>0.875</v>
      </c>
      <c r="U94" s="23">
        <f t="shared" ref="U94:V94" si="96">(H94+J94+L94+N94)/4</f>
        <v>0.75</v>
      </c>
      <c r="V94" s="23">
        <f t="shared" si="96"/>
        <v>0.625</v>
      </c>
    </row>
    <row r="95">
      <c r="A95" s="3" t="s">
        <v>203</v>
      </c>
      <c r="B95" s="3" t="s">
        <v>45</v>
      </c>
      <c r="C95" s="3" t="s">
        <v>235</v>
      </c>
      <c r="D95" s="3" t="s">
        <v>204</v>
      </c>
      <c r="E95" s="11" t="s">
        <v>732</v>
      </c>
      <c r="F95" s="12" t="s">
        <v>675</v>
      </c>
      <c r="G95" s="10" t="s">
        <v>33</v>
      </c>
      <c r="H95" s="13">
        <v>1.0</v>
      </c>
      <c r="I95" s="13">
        <v>1.0</v>
      </c>
      <c r="J95" s="13">
        <v>1.0</v>
      </c>
      <c r="K95" s="13">
        <v>1.0</v>
      </c>
      <c r="L95" s="13">
        <v>1.0</v>
      </c>
      <c r="M95" s="13">
        <v>1.0</v>
      </c>
      <c r="N95" s="13">
        <v>1.0</v>
      </c>
      <c r="O95" s="13">
        <v>1.0</v>
      </c>
      <c r="P95" s="15">
        <f t="shared" si="5"/>
        <v>1</v>
      </c>
      <c r="U95" s="23">
        <f t="shared" ref="U95:V95" si="97">(H95+J95+L95+N95)/4</f>
        <v>1</v>
      </c>
      <c r="V95" s="23">
        <f t="shared" si="97"/>
        <v>1</v>
      </c>
    </row>
    <row r="96">
      <c r="A96" s="3" t="s">
        <v>207</v>
      </c>
      <c r="B96" s="3" t="s">
        <v>45</v>
      </c>
      <c r="C96" s="3" t="s">
        <v>235</v>
      </c>
      <c r="D96" s="3" t="s">
        <v>208</v>
      </c>
      <c r="E96" s="11" t="s">
        <v>733</v>
      </c>
      <c r="F96" s="12" t="s">
        <v>677</v>
      </c>
      <c r="G96" s="10" t="s">
        <v>33</v>
      </c>
      <c r="H96" s="13">
        <v>1.0</v>
      </c>
      <c r="I96" s="13">
        <v>1.0</v>
      </c>
      <c r="J96" s="13">
        <v>1.0</v>
      </c>
      <c r="K96" s="13">
        <v>1.0</v>
      </c>
      <c r="L96" s="13">
        <v>1.0</v>
      </c>
      <c r="M96" s="13">
        <v>1.0</v>
      </c>
      <c r="N96" s="13">
        <v>1.0</v>
      </c>
      <c r="O96" s="13">
        <v>1.0</v>
      </c>
      <c r="P96" s="15">
        <f t="shared" si="5"/>
        <v>1</v>
      </c>
      <c r="U96" s="23">
        <f t="shared" ref="U96:V96" si="98">(H96+J96+L96+N96)/4</f>
        <v>1</v>
      </c>
      <c r="V96" s="23">
        <f t="shared" si="98"/>
        <v>1</v>
      </c>
    </row>
    <row r="97">
      <c r="A97" s="3" t="s">
        <v>211</v>
      </c>
      <c r="B97" s="3" t="s">
        <v>45</v>
      </c>
      <c r="C97" s="3" t="s">
        <v>235</v>
      </c>
      <c r="D97" s="3" t="s">
        <v>212</v>
      </c>
      <c r="E97" s="11" t="s">
        <v>734</v>
      </c>
      <c r="F97" s="12" t="s">
        <v>679</v>
      </c>
      <c r="G97" s="10" t="s">
        <v>33</v>
      </c>
      <c r="H97" s="13">
        <v>1.0</v>
      </c>
      <c r="I97" s="13">
        <v>1.0</v>
      </c>
      <c r="J97" s="13">
        <v>1.0</v>
      </c>
      <c r="K97" s="13">
        <v>1.0</v>
      </c>
      <c r="L97" s="13">
        <v>1.0</v>
      </c>
      <c r="M97" s="13">
        <v>1.0</v>
      </c>
      <c r="N97" s="13">
        <v>1.0</v>
      </c>
      <c r="O97" s="13">
        <v>1.0</v>
      </c>
      <c r="P97" s="15">
        <f t="shared" si="5"/>
        <v>1</v>
      </c>
      <c r="U97" s="23">
        <f t="shared" ref="U97:V97" si="99">(H97+J97+L97+N97)/4</f>
        <v>1</v>
      </c>
      <c r="V97" s="23">
        <f t="shared" si="99"/>
        <v>1</v>
      </c>
    </row>
    <row r="98">
      <c r="A98" s="3" t="s">
        <v>215</v>
      </c>
      <c r="B98" s="3" t="s">
        <v>45</v>
      </c>
      <c r="C98" s="3" t="s">
        <v>235</v>
      </c>
      <c r="D98" s="3" t="s">
        <v>216</v>
      </c>
      <c r="E98" s="11" t="s">
        <v>735</v>
      </c>
      <c r="F98" s="12" t="s">
        <v>681</v>
      </c>
      <c r="G98" s="10" t="s">
        <v>33</v>
      </c>
      <c r="H98" s="13">
        <v>1.0</v>
      </c>
      <c r="I98" s="13">
        <v>1.0</v>
      </c>
      <c r="J98" s="13">
        <v>1.0</v>
      </c>
      <c r="K98" s="13">
        <v>1.0</v>
      </c>
      <c r="L98" s="13">
        <v>1.0</v>
      </c>
      <c r="M98" s="13">
        <v>1.0</v>
      </c>
      <c r="N98" s="13">
        <v>1.0</v>
      </c>
      <c r="O98" s="13">
        <v>1.0</v>
      </c>
      <c r="P98" s="15">
        <f t="shared" si="5"/>
        <v>1</v>
      </c>
      <c r="U98" s="23">
        <f t="shared" ref="U98:V98" si="100">(H98+J98+L98+N98)/4</f>
        <v>1</v>
      </c>
      <c r="V98" s="23">
        <f t="shared" si="100"/>
        <v>1</v>
      </c>
    </row>
    <row r="99">
      <c r="A99" s="3" t="s">
        <v>219</v>
      </c>
      <c r="B99" s="3" t="s">
        <v>45</v>
      </c>
      <c r="C99" s="3" t="s">
        <v>235</v>
      </c>
      <c r="D99" s="3" t="s">
        <v>220</v>
      </c>
      <c r="E99" s="11" t="s">
        <v>736</v>
      </c>
      <c r="F99" s="12" t="s">
        <v>683</v>
      </c>
      <c r="G99" s="10" t="s">
        <v>33</v>
      </c>
      <c r="H99" s="13">
        <v>1.0</v>
      </c>
      <c r="I99" s="13">
        <v>1.0</v>
      </c>
      <c r="J99" s="13">
        <v>1.0</v>
      </c>
      <c r="K99" s="13">
        <v>1.0</v>
      </c>
      <c r="L99" s="13">
        <v>1.0</v>
      </c>
      <c r="M99" s="13">
        <v>1.0</v>
      </c>
      <c r="N99" s="13">
        <v>1.0</v>
      </c>
      <c r="O99" s="13">
        <v>1.0</v>
      </c>
      <c r="P99" s="15">
        <f t="shared" si="5"/>
        <v>1</v>
      </c>
      <c r="U99" s="23">
        <f t="shared" ref="U99:V99" si="101">(H99+J99+L99+N99)/4</f>
        <v>1</v>
      </c>
      <c r="V99" s="23">
        <f t="shared" si="101"/>
        <v>1</v>
      </c>
    </row>
    <row r="100">
      <c r="A100" s="3" t="s">
        <v>223</v>
      </c>
      <c r="B100" s="3" t="s">
        <v>45</v>
      </c>
      <c r="C100" s="3" t="s">
        <v>235</v>
      </c>
      <c r="D100" s="3" t="s">
        <v>224</v>
      </c>
      <c r="E100" s="11" t="s">
        <v>737</v>
      </c>
      <c r="F100" s="12" t="s">
        <v>685</v>
      </c>
      <c r="G100" s="10" t="s">
        <v>33</v>
      </c>
      <c r="H100" s="13">
        <v>1.0</v>
      </c>
      <c r="I100" s="13">
        <v>1.0</v>
      </c>
      <c r="J100" s="13">
        <v>1.0</v>
      </c>
      <c r="K100" s="13">
        <v>1.0</v>
      </c>
      <c r="L100" s="13">
        <v>1.0</v>
      </c>
      <c r="M100" s="13">
        <v>1.0</v>
      </c>
      <c r="N100" s="13">
        <v>1.0</v>
      </c>
      <c r="O100" s="13">
        <v>1.0</v>
      </c>
      <c r="P100" s="15">
        <f t="shared" si="5"/>
        <v>1</v>
      </c>
      <c r="U100" s="23">
        <f t="shared" ref="U100:V100" si="102">(H100+J100+L100+N100)/4</f>
        <v>1</v>
      </c>
      <c r="V100" s="23">
        <f t="shared" si="102"/>
        <v>1</v>
      </c>
    </row>
    <row r="101">
      <c r="A101" s="3" t="s">
        <v>227</v>
      </c>
      <c r="B101" s="3" t="s">
        <v>45</v>
      </c>
      <c r="C101" s="3" t="s">
        <v>235</v>
      </c>
      <c r="D101" s="3" t="s">
        <v>228</v>
      </c>
      <c r="E101" s="11" t="s">
        <v>738</v>
      </c>
      <c r="F101" s="12" t="s">
        <v>687</v>
      </c>
      <c r="G101" s="10" t="s">
        <v>33</v>
      </c>
      <c r="H101" s="13">
        <v>1.0</v>
      </c>
      <c r="I101" s="13">
        <v>1.0</v>
      </c>
      <c r="J101" s="13">
        <v>1.0</v>
      </c>
      <c r="K101" s="13">
        <v>1.0</v>
      </c>
      <c r="L101" s="13">
        <v>1.0</v>
      </c>
      <c r="M101" s="13">
        <v>1.0</v>
      </c>
      <c r="N101" s="13">
        <v>1.0</v>
      </c>
      <c r="O101" s="13">
        <v>1.0</v>
      </c>
      <c r="P101" s="15">
        <f t="shared" si="5"/>
        <v>1</v>
      </c>
      <c r="U101" s="23">
        <f t="shared" ref="U101:V101" si="103">(H101+J101+L101+N101)/4</f>
        <v>1</v>
      </c>
      <c r="V101" s="23">
        <f t="shared" si="103"/>
        <v>1</v>
      </c>
    </row>
    <row r="102">
      <c r="A102" s="3" t="s">
        <v>231</v>
      </c>
      <c r="B102" s="3" t="s">
        <v>45</v>
      </c>
      <c r="C102" s="3" t="s">
        <v>235</v>
      </c>
      <c r="D102" s="3" t="s">
        <v>232</v>
      </c>
      <c r="E102" s="11" t="s">
        <v>739</v>
      </c>
      <c r="F102" s="12" t="s">
        <v>689</v>
      </c>
      <c r="G102" s="10" t="s">
        <v>39</v>
      </c>
      <c r="H102" s="13">
        <v>0.5</v>
      </c>
      <c r="I102" s="13">
        <v>0.5</v>
      </c>
      <c r="J102" s="13">
        <v>1.0</v>
      </c>
      <c r="K102" s="13">
        <v>0.5</v>
      </c>
      <c r="L102" s="13">
        <v>0.0</v>
      </c>
      <c r="M102" s="13">
        <v>0.0</v>
      </c>
      <c r="N102" s="13">
        <v>0.5</v>
      </c>
      <c r="O102" s="13">
        <v>0.0</v>
      </c>
      <c r="P102" s="15">
        <f t="shared" si="5"/>
        <v>0.75</v>
      </c>
      <c r="U102" s="23">
        <f t="shared" ref="U102:V102" si="104">(H102+J102+L102+N102)/4</f>
        <v>0.5</v>
      </c>
      <c r="V102" s="23">
        <f t="shared" si="104"/>
        <v>0.25</v>
      </c>
    </row>
    <row r="103">
      <c r="A103" s="3" t="s">
        <v>27</v>
      </c>
      <c r="B103" s="3" t="s">
        <v>45</v>
      </c>
      <c r="C103" s="3" t="s">
        <v>286</v>
      </c>
      <c r="D103" s="3" t="s">
        <v>30</v>
      </c>
      <c r="E103" s="11" t="s">
        <v>740</v>
      </c>
      <c r="F103" s="12" t="s">
        <v>596</v>
      </c>
      <c r="G103" s="10" t="s">
        <v>33</v>
      </c>
      <c r="H103" s="13">
        <v>1.0</v>
      </c>
      <c r="I103" s="13">
        <v>1.0</v>
      </c>
      <c r="J103" s="13">
        <v>1.0</v>
      </c>
      <c r="K103" s="13">
        <v>1.0</v>
      </c>
      <c r="L103" s="13">
        <v>1.0</v>
      </c>
      <c r="M103" s="13">
        <v>1.0</v>
      </c>
      <c r="N103" s="13">
        <v>1.0</v>
      </c>
      <c r="O103" s="13">
        <v>1.0</v>
      </c>
      <c r="P103" s="15">
        <f t="shared" si="5"/>
        <v>1</v>
      </c>
      <c r="U103" s="23">
        <f t="shared" ref="U103:V103" si="105">(H103+J103+L103+N103)/4</f>
        <v>1</v>
      </c>
      <c r="V103" s="23">
        <f t="shared" si="105"/>
        <v>1</v>
      </c>
    </row>
    <row r="104">
      <c r="A104" s="3" t="s">
        <v>35</v>
      </c>
      <c r="B104" s="3" t="s">
        <v>45</v>
      </c>
      <c r="C104" s="3" t="s">
        <v>286</v>
      </c>
      <c r="D104" s="3" t="s">
        <v>55</v>
      </c>
      <c r="E104" s="11" t="s">
        <v>741</v>
      </c>
      <c r="F104" s="12" t="s">
        <v>598</v>
      </c>
      <c r="G104" s="10" t="s">
        <v>33</v>
      </c>
      <c r="H104" s="13">
        <v>1.0</v>
      </c>
      <c r="I104" s="13">
        <v>1.0</v>
      </c>
      <c r="J104" s="13">
        <v>1.0</v>
      </c>
      <c r="K104" s="13">
        <v>1.0</v>
      </c>
      <c r="L104" s="13">
        <v>1.0</v>
      </c>
      <c r="M104" s="13">
        <v>1.0</v>
      </c>
      <c r="N104" s="13">
        <v>1.0</v>
      </c>
      <c r="O104" s="13">
        <v>1.0</v>
      </c>
      <c r="P104" s="15">
        <f t="shared" si="5"/>
        <v>1</v>
      </c>
      <c r="U104" s="23">
        <f t="shared" ref="U104:V104" si="106">(H104+J104+L104+N104)/4</f>
        <v>1</v>
      </c>
      <c r="V104" s="23">
        <f t="shared" si="106"/>
        <v>1</v>
      </c>
    </row>
    <row r="105">
      <c r="A105" s="3" t="s">
        <v>41</v>
      </c>
      <c r="B105" s="3" t="s">
        <v>45</v>
      </c>
      <c r="C105" s="3" t="s">
        <v>286</v>
      </c>
      <c r="D105" s="3" t="s">
        <v>42</v>
      </c>
      <c r="E105" s="11" t="s">
        <v>742</v>
      </c>
      <c r="F105" s="12" t="s">
        <v>600</v>
      </c>
      <c r="G105" s="10" t="s">
        <v>33</v>
      </c>
      <c r="H105" s="13">
        <v>1.0</v>
      </c>
      <c r="I105" s="13">
        <v>1.0</v>
      </c>
      <c r="J105" s="13">
        <v>1.0</v>
      </c>
      <c r="K105" s="13">
        <v>1.0</v>
      </c>
      <c r="L105" s="13">
        <v>0.5</v>
      </c>
      <c r="M105" s="13">
        <v>1.0</v>
      </c>
      <c r="N105" s="13">
        <v>1.0</v>
      </c>
      <c r="O105" s="13">
        <v>1.0</v>
      </c>
      <c r="P105" s="15">
        <f t="shared" si="5"/>
        <v>0.875</v>
      </c>
      <c r="U105" s="23">
        <f t="shared" ref="U105:V105" si="107">(H105+J105+L105+N105)/4</f>
        <v>0.875</v>
      </c>
      <c r="V105" s="23">
        <f t="shared" si="107"/>
        <v>1</v>
      </c>
    </row>
    <row r="106">
      <c r="A106" s="3" t="s">
        <v>46</v>
      </c>
      <c r="B106" s="3" t="s">
        <v>45</v>
      </c>
      <c r="C106" s="3" t="s">
        <v>286</v>
      </c>
      <c r="D106" s="3" t="s">
        <v>47</v>
      </c>
      <c r="E106" s="11" t="s">
        <v>743</v>
      </c>
      <c r="F106" s="12" t="s">
        <v>602</v>
      </c>
      <c r="G106" s="10" t="s">
        <v>33</v>
      </c>
      <c r="H106" s="13">
        <v>1.0</v>
      </c>
      <c r="I106" s="13">
        <v>1.0</v>
      </c>
      <c r="J106" s="13">
        <v>1.0</v>
      </c>
      <c r="K106" s="13">
        <v>1.0</v>
      </c>
      <c r="L106" s="13">
        <v>1.0</v>
      </c>
      <c r="M106" s="13">
        <v>1.0</v>
      </c>
      <c r="N106" s="13">
        <v>1.0</v>
      </c>
      <c r="O106" s="13">
        <v>1.0</v>
      </c>
      <c r="P106" s="15">
        <f t="shared" si="5"/>
        <v>1</v>
      </c>
      <c r="U106" s="23">
        <f t="shared" ref="U106:V106" si="108">(H106+J106+L106+N106)/4</f>
        <v>1</v>
      </c>
      <c r="V106" s="23">
        <f t="shared" si="108"/>
        <v>1</v>
      </c>
    </row>
    <row r="107">
      <c r="A107" s="3" t="s">
        <v>50</v>
      </c>
      <c r="B107" s="3" t="s">
        <v>45</v>
      </c>
      <c r="C107" s="3" t="s">
        <v>286</v>
      </c>
      <c r="D107" s="3" t="s">
        <v>51</v>
      </c>
      <c r="E107" s="11" t="s">
        <v>744</v>
      </c>
      <c r="F107" s="12" t="s">
        <v>604</v>
      </c>
      <c r="G107" s="10" t="s">
        <v>33</v>
      </c>
      <c r="H107" s="13">
        <v>1.0</v>
      </c>
      <c r="I107" s="13">
        <v>1.0</v>
      </c>
      <c r="J107" s="13">
        <v>1.0</v>
      </c>
      <c r="K107" s="13">
        <v>1.0</v>
      </c>
      <c r="L107" s="13">
        <v>1.0</v>
      </c>
      <c r="M107" s="13">
        <v>1.0</v>
      </c>
      <c r="N107" s="13">
        <v>1.0</v>
      </c>
      <c r="O107" s="13">
        <v>1.0</v>
      </c>
      <c r="P107" s="15">
        <f t="shared" si="5"/>
        <v>1</v>
      </c>
      <c r="U107" s="23">
        <f t="shared" ref="U107:V107" si="109">(H107+J107+L107+N107)/4</f>
        <v>1</v>
      </c>
      <c r="V107" s="23">
        <f t="shared" si="109"/>
        <v>1</v>
      </c>
    </row>
    <row r="108">
      <c r="A108" s="3" t="s">
        <v>54</v>
      </c>
      <c r="B108" s="3" t="s">
        <v>45</v>
      </c>
      <c r="C108" s="3" t="s">
        <v>286</v>
      </c>
      <c r="D108" s="3" t="s">
        <v>36</v>
      </c>
      <c r="E108" s="11" t="s">
        <v>745</v>
      </c>
      <c r="F108" s="12" t="s">
        <v>606</v>
      </c>
      <c r="G108" s="10" t="s">
        <v>33</v>
      </c>
      <c r="H108" s="13">
        <v>1.0</v>
      </c>
      <c r="I108" s="13">
        <v>1.0</v>
      </c>
      <c r="J108" s="13">
        <v>1.0</v>
      </c>
      <c r="K108" s="13">
        <v>1.0</v>
      </c>
      <c r="L108" s="13">
        <v>1.0</v>
      </c>
      <c r="M108" s="13">
        <v>1.0</v>
      </c>
      <c r="N108" s="13">
        <v>1.0</v>
      </c>
      <c r="O108" s="13">
        <v>1.0</v>
      </c>
      <c r="P108" s="15">
        <f t="shared" si="5"/>
        <v>1</v>
      </c>
      <c r="U108" s="23">
        <f t="shared" ref="U108:V108" si="110">(H108+J108+L108+N108)/4</f>
        <v>1</v>
      </c>
      <c r="V108" s="23">
        <f t="shared" si="110"/>
        <v>1</v>
      </c>
    </row>
    <row r="109">
      <c r="A109" s="3" t="s">
        <v>58</v>
      </c>
      <c r="B109" s="3" t="s">
        <v>45</v>
      </c>
      <c r="C109" s="3" t="s">
        <v>286</v>
      </c>
      <c r="D109" s="3" t="s">
        <v>59</v>
      </c>
      <c r="E109" s="11" t="s">
        <v>746</v>
      </c>
      <c r="F109" s="12" t="s">
        <v>608</v>
      </c>
      <c r="G109" s="10" t="s">
        <v>33</v>
      </c>
      <c r="H109" s="13">
        <v>1.0</v>
      </c>
      <c r="I109" s="13">
        <v>1.0</v>
      </c>
      <c r="J109" s="13">
        <v>1.0</v>
      </c>
      <c r="K109" s="13">
        <v>1.0</v>
      </c>
      <c r="L109" s="13">
        <v>1.0</v>
      </c>
      <c r="M109" s="13">
        <v>1.0</v>
      </c>
      <c r="N109" s="13">
        <v>1.0</v>
      </c>
      <c r="O109" s="13">
        <v>1.0</v>
      </c>
      <c r="P109" s="15">
        <f t="shared" si="5"/>
        <v>1</v>
      </c>
      <c r="U109" s="23">
        <f t="shared" ref="U109:V109" si="111">(H109+J109+L109+N109)/4</f>
        <v>1</v>
      </c>
      <c r="V109" s="23">
        <f t="shared" si="111"/>
        <v>1</v>
      </c>
    </row>
    <row r="110">
      <c r="A110" s="3" t="s">
        <v>62</v>
      </c>
      <c r="B110" s="3" t="s">
        <v>45</v>
      </c>
      <c r="C110" s="3" t="s">
        <v>286</v>
      </c>
      <c r="D110" s="3" t="s">
        <v>63</v>
      </c>
      <c r="E110" s="11" t="s">
        <v>747</v>
      </c>
      <c r="F110" s="12" t="s">
        <v>610</v>
      </c>
      <c r="G110" s="10" t="s">
        <v>33</v>
      </c>
      <c r="H110" s="13">
        <v>1.0</v>
      </c>
      <c r="I110" s="13">
        <v>1.0</v>
      </c>
      <c r="J110" s="13">
        <v>1.0</v>
      </c>
      <c r="K110" s="13">
        <v>1.0</v>
      </c>
      <c r="L110" s="13">
        <v>1.0</v>
      </c>
      <c r="M110" s="13">
        <v>1.0</v>
      </c>
      <c r="N110" s="13">
        <v>1.0</v>
      </c>
      <c r="O110" s="13">
        <v>1.0</v>
      </c>
      <c r="P110" s="15">
        <f t="shared" si="5"/>
        <v>1</v>
      </c>
      <c r="U110" s="23">
        <f t="shared" ref="U110:V110" si="112">(H110+J110+L110+N110)/4</f>
        <v>1</v>
      </c>
      <c r="V110" s="23">
        <f t="shared" si="112"/>
        <v>1</v>
      </c>
    </row>
    <row r="111">
      <c r="A111" s="3" t="s">
        <v>67</v>
      </c>
      <c r="B111" s="3" t="s">
        <v>45</v>
      </c>
      <c r="C111" s="3" t="s">
        <v>286</v>
      </c>
      <c r="D111" s="3" t="s">
        <v>68</v>
      </c>
      <c r="E111" s="11" t="s">
        <v>748</v>
      </c>
      <c r="F111" s="12" t="s">
        <v>612</v>
      </c>
      <c r="G111" s="10" t="s">
        <v>33</v>
      </c>
      <c r="H111" s="13">
        <v>1.0</v>
      </c>
      <c r="I111" s="13">
        <v>1.0</v>
      </c>
      <c r="J111" s="13">
        <v>1.0</v>
      </c>
      <c r="K111" s="13">
        <v>1.0</v>
      </c>
      <c r="L111" s="13">
        <v>1.0</v>
      </c>
      <c r="M111" s="13">
        <v>1.0</v>
      </c>
      <c r="N111" s="13">
        <v>1.0</v>
      </c>
      <c r="O111" s="13">
        <v>1.0</v>
      </c>
      <c r="P111" s="15">
        <f t="shared" si="5"/>
        <v>1</v>
      </c>
      <c r="U111" s="23">
        <f t="shared" ref="U111:V111" si="113">(H111+J111+L111+N111)/4</f>
        <v>1</v>
      </c>
      <c r="V111" s="23">
        <f t="shared" si="113"/>
        <v>1</v>
      </c>
    </row>
    <row r="112">
      <c r="A112" s="3" t="s">
        <v>71</v>
      </c>
      <c r="B112" s="3" t="s">
        <v>45</v>
      </c>
      <c r="C112" s="3" t="s">
        <v>286</v>
      </c>
      <c r="D112" s="3" t="s">
        <v>72</v>
      </c>
      <c r="E112" s="11" t="s">
        <v>749</v>
      </c>
      <c r="F112" s="12" t="s">
        <v>614</v>
      </c>
      <c r="G112" s="10" t="s">
        <v>33</v>
      </c>
      <c r="H112" s="13">
        <v>0.5</v>
      </c>
      <c r="I112" s="13">
        <v>1.0</v>
      </c>
      <c r="J112" s="13">
        <v>1.0</v>
      </c>
      <c r="K112" s="13">
        <v>1.0</v>
      </c>
      <c r="L112" s="13">
        <v>1.0</v>
      </c>
      <c r="M112" s="13">
        <v>1.0</v>
      </c>
      <c r="N112" s="13">
        <v>0.5</v>
      </c>
      <c r="O112" s="13">
        <v>1.0</v>
      </c>
      <c r="P112" s="15">
        <f t="shared" si="5"/>
        <v>0.75</v>
      </c>
      <c r="U112" s="23">
        <f t="shared" ref="U112:V112" si="114">(H112+J112+L112+N112)/4</f>
        <v>0.75</v>
      </c>
      <c r="V112" s="23">
        <f t="shared" si="114"/>
        <v>1</v>
      </c>
    </row>
    <row r="113">
      <c r="A113" s="3" t="s">
        <v>75</v>
      </c>
      <c r="B113" s="3" t="s">
        <v>45</v>
      </c>
      <c r="C113" s="3" t="s">
        <v>286</v>
      </c>
      <c r="D113" s="3" t="s">
        <v>76</v>
      </c>
      <c r="E113" s="11" t="s">
        <v>750</v>
      </c>
      <c r="F113" s="12" t="s">
        <v>616</v>
      </c>
      <c r="G113" s="10" t="s">
        <v>33</v>
      </c>
      <c r="H113" s="13">
        <v>1.0</v>
      </c>
      <c r="I113" s="13">
        <v>1.0</v>
      </c>
      <c r="J113" s="13">
        <v>1.0</v>
      </c>
      <c r="K113" s="13">
        <v>1.0</v>
      </c>
      <c r="L113" s="13">
        <v>1.0</v>
      </c>
      <c r="M113" s="13">
        <v>1.0</v>
      </c>
      <c r="N113" s="13">
        <v>1.0</v>
      </c>
      <c r="O113" s="13">
        <v>1.0</v>
      </c>
      <c r="P113" s="15">
        <f t="shared" si="5"/>
        <v>1</v>
      </c>
      <c r="U113" s="23">
        <f t="shared" ref="U113:V113" si="115">(H113+J113+L113+N113)/4</f>
        <v>1</v>
      </c>
      <c r="V113" s="23">
        <f t="shared" si="115"/>
        <v>1</v>
      </c>
    </row>
    <row r="114">
      <c r="A114" s="3" t="s">
        <v>79</v>
      </c>
      <c r="B114" s="3" t="s">
        <v>45</v>
      </c>
      <c r="C114" s="3" t="s">
        <v>286</v>
      </c>
      <c r="D114" s="3" t="s">
        <v>80</v>
      </c>
      <c r="E114" s="11" t="s">
        <v>751</v>
      </c>
      <c r="F114" s="12" t="s">
        <v>618</v>
      </c>
      <c r="G114" s="10" t="s">
        <v>39</v>
      </c>
      <c r="H114" s="13">
        <v>1.0</v>
      </c>
      <c r="I114" s="13">
        <v>1.0</v>
      </c>
      <c r="J114" s="13">
        <v>1.0</v>
      </c>
      <c r="K114" s="13">
        <v>1.0</v>
      </c>
      <c r="L114" s="13">
        <v>0.0</v>
      </c>
      <c r="M114" s="13">
        <v>1.0</v>
      </c>
      <c r="N114" s="13">
        <v>1.0</v>
      </c>
      <c r="O114" s="13">
        <v>1.0</v>
      </c>
      <c r="P114" s="15">
        <f t="shared" si="5"/>
        <v>0.75</v>
      </c>
      <c r="U114" s="23">
        <f t="shared" ref="U114:V114" si="116">(H114+J114+L114+N114)/4</f>
        <v>0.75</v>
      </c>
      <c r="V114" s="23">
        <f t="shared" si="116"/>
        <v>1</v>
      </c>
    </row>
    <row r="115">
      <c r="A115" s="3" t="s">
        <v>83</v>
      </c>
      <c r="B115" s="3" t="s">
        <v>45</v>
      </c>
      <c r="C115" s="3" t="s">
        <v>286</v>
      </c>
      <c r="D115" s="3" t="s">
        <v>84</v>
      </c>
      <c r="E115" s="11" t="s">
        <v>752</v>
      </c>
      <c r="F115" s="12" t="s">
        <v>620</v>
      </c>
      <c r="G115" s="10" t="s">
        <v>33</v>
      </c>
      <c r="H115" s="13">
        <v>1.0</v>
      </c>
      <c r="I115" s="13">
        <v>1.0</v>
      </c>
      <c r="J115" s="13">
        <v>1.0</v>
      </c>
      <c r="K115" s="13">
        <v>1.0</v>
      </c>
      <c r="L115" s="13">
        <v>1.0</v>
      </c>
      <c r="M115" s="13">
        <v>1.0</v>
      </c>
      <c r="N115" s="13">
        <v>1.0</v>
      </c>
      <c r="O115" s="13">
        <v>1.0</v>
      </c>
      <c r="P115" s="15">
        <f t="shared" si="5"/>
        <v>1</v>
      </c>
      <c r="U115" s="23">
        <f t="shared" ref="U115:V115" si="117">(H115+J115+L115+N115)/4</f>
        <v>1</v>
      </c>
      <c r="V115" s="23">
        <f t="shared" si="117"/>
        <v>1</v>
      </c>
    </row>
    <row r="116">
      <c r="A116" s="3" t="s">
        <v>87</v>
      </c>
      <c r="B116" s="3" t="s">
        <v>45</v>
      </c>
      <c r="C116" s="3" t="s">
        <v>286</v>
      </c>
      <c r="D116" s="3" t="s">
        <v>88</v>
      </c>
      <c r="E116" s="11" t="s">
        <v>753</v>
      </c>
      <c r="F116" s="12" t="s">
        <v>622</v>
      </c>
      <c r="G116" s="10" t="s">
        <v>33</v>
      </c>
      <c r="H116" s="13">
        <v>1.0</v>
      </c>
      <c r="I116" s="13">
        <v>1.0</v>
      </c>
      <c r="J116" s="13">
        <v>1.0</v>
      </c>
      <c r="K116" s="13">
        <v>1.0</v>
      </c>
      <c r="L116" s="13">
        <v>1.0</v>
      </c>
      <c r="M116" s="13">
        <v>1.0</v>
      </c>
      <c r="N116" s="13">
        <v>1.0</v>
      </c>
      <c r="O116" s="13">
        <v>1.0</v>
      </c>
      <c r="P116" s="15">
        <f t="shared" si="5"/>
        <v>1</v>
      </c>
      <c r="U116" s="23">
        <f t="shared" ref="U116:V116" si="118">(H116+J116+L116+N116)/4</f>
        <v>1</v>
      </c>
      <c r="V116" s="23">
        <f t="shared" si="118"/>
        <v>1</v>
      </c>
    </row>
    <row r="117">
      <c r="A117" s="3" t="s">
        <v>91</v>
      </c>
      <c r="B117" s="3" t="s">
        <v>45</v>
      </c>
      <c r="C117" s="3" t="s">
        <v>286</v>
      </c>
      <c r="D117" s="3" t="s">
        <v>92</v>
      </c>
      <c r="E117" s="11" t="s">
        <v>754</v>
      </c>
      <c r="F117" s="12" t="s">
        <v>624</v>
      </c>
      <c r="G117" s="10" t="s">
        <v>33</v>
      </c>
      <c r="H117" s="13">
        <v>1.0</v>
      </c>
      <c r="I117" s="13">
        <v>1.0</v>
      </c>
      <c r="J117" s="13">
        <v>1.0</v>
      </c>
      <c r="K117" s="13">
        <v>1.0</v>
      </c>
      <c r="L117" s="13">
        <v>1.0</v>
      </c>
      <c r="M117" s="13">
        <v>1.0</v>
      </c>
      <c r="N117" s="13">
        <v>1.0</v>
      </c>
      <c r="O117" s="13">
        <v>1.0</v>
      </c>
      <c r="P117" s="15">
        <f t="shared" si="5"/>
        <v>1</v>
      </c>
      <c r="U117" s="23">
        <f t="shared" ref="U117:V117" si="119">(H117+J117+L117+N117)/4</f>
        <v>1</v>
      </c>
      <c r="V117" s="23">
        <f t="shared" si="119"/>
        <v>1</v>
      </c>
    </row>
    <row r="118">
      <c r="A118" s="3" t="s">
        <v>95</v>
      </c>
      <c r="B118" s="3" t="s">
        <v>45</v>
      </c>
      <c r="C118" s="3" t="s">
        <v>286</v>
      </c>
      <c r="D118" s="3" t="s">
        <v>96</v>
      </c>
      <c r="E118" s="11" t="s">
        <v>755</v>
      </c>
      <c r="F118" s="12" t="s">
        <v>626</v>
      </c>
      <c r="G118" s="10" t="s">
        <v>33</v>
      </c>
      <c r="H118" s="13">
        <v>1.0</v>
      </c>
      <c r="I118" s="13">
        <v>1.0</v>
      </c>
      <c r="J118" s="13">
        <v>1.0</v>
      </c>
      <c r="K118" s="13">
        <v>1.0</v>
      </c>
      <c r="L118" s="13">
        <v>1.0</v>
      </c>
      <c r="M118" s="13">
        <v>1.0</v>
      </c>
      <c r="N118" s="13">
        <v>1.0</v>
      </c>
      <c r="O118" s="13">
        <v>1.0</v>
      </c>
      <c r="P118" s="15">
        <f t="shared" si="5"/>
        <v>1</v>
      </c>
      <c r="U118" s="23">
        <f t="shared" ref="U118:V118" si="120">(H118+J118+L118+N118)/4</f>
        <v>1</v>
      </c>
      <c r="V118" s="23">
        <f t="shared" si="120"/>
        <v>1</v>
      </c>
    </row>
    <row r="119">
      <c r="A119" s="3" t="s">
        <v>99</v>
      </c>
      <c r="B119" s="3" t="s">
        <v>45</v>
      </c>
      <c r="C119" s="3" t="s">
        <v>286</v>
      </c>
      <c r="D119" s="3" t="s">
        <v>100</v>
      </c>
      <c r="E119" s="11" t="s">
        <v>756</v>
      </c>
      <c r="F119" s="12" t="s">
        <v>628</v>
      </c>
      <c r="G119" s="10" t="s">
        <v>33</v>
      </c>
      <c r="H119" s="13">
        <v>1.0</v>
      </c>
      <c r="I119" s="13">
        <v>1.0</v>
      </c>
      <c r="J119" s="13">
        <v>1.0</v>
      </c>
      <c r="K119" s="13">
        <v>1.0</v>
      </c>
      <c r="L119" s="13">
        <v>1.0</v>
      </c>
      <c r="M119" s="13">
        <v>1.0</v>
      </c>
      <c r="N119" s="13">
        <v>1.0</v>
      </c>
      <c r="O119" s="13">
        <v>1.0</v>
      </c>
      <c r="P119" s="15">
        <f t="shared" si="5"/>
        <v>1</v>
      </c>
      <c r="U119" s="23">
        <f t="shared" ref="U119:V119" si="121">(H119+J119+L119+N119)/4</f>
        <v>1</v>
      </c>
      <c r="V119" s="23">
        <f t="shared" si="121"/>
        <v>1</v>
      </c>
    </row>
    <row r="120">
      <c r="A120" s="3" t="s">
        <v>103</v>
      </c>
      <c r="B120" s="3" t="s">
        <v>45</v>
      </c>
      <c r="C120" s="3" t="s">
        <v>286</v>
      </c>
      <c r="D120" s="3" t="s">
        <v>104</v>
      </c>
      <c r="E120" s="11" t="s">
        <v>757</v>
      </c>
      <c r="F120" s="12" t="s">
        <v>630</v>
      </c>
      <c r="G120" s="10" t="s">
        <v>33</v>
      </c>
      <c r="H120" s="13">
        <v>1.0</v>
      </c>
      <c r="I120" s="13">
        <v>1.0</v>
      </c>
      <c r="J120" s="13">
        <v>1.0</v>
      </c>
      <c r="K120" s="13">
        <v>1.0</v>
      </c>
      <c r="L120" s="13">
        <v>1.0</v>
      </c>
      <c r="M120" s="13">
        <v>1.0</v>
      </c>
      <c r="N120" s="13">
        <v>1.0</v>
      </c>
      <c r="O120" s="13">
        <v>1.0</v>
      </c>
      <c r="P120" s="15">
        <f t="shared" si="5"/>
        <v>1</v>
      </c>
      <c r="U120" s="23">
        <f t="shared" ref="U120:V120" si="122">(H120+J120+L120+N120)/4</f>
        <v>1</v>
      </c>
      <c r="V120" s="23">
        <f t="shared" si="122"/>
        <v>1</v>
      </c>
    </row>
    <row r="121">
      <c r="A121" s="3" t="s">
        <v>107</v>
      </c>
      <c r="B121" s="3" t="s">
        <v>45</v>
      </c>
      <c r="C121" s="3" t="s">
        <v>286</v>
      </c>
      <c r="D121" s="3" t="s">
        <v>108</v>
      </c>
      <c r="E121" s="11" t="s">
        <v>758</v>
      </c>
      <c r="F121" s="12" t="s">
        <v>403</v>
      </c>
      <c r="G121" s="10" t="s">
        <v>33</v>
      </c>
      <c r="H121" s="13">
        <v>1.0</v>
      </c>
      <c r="I121" s="13">
        <v>1.0</v>
      </c>
      <c r="J121" s="13">
        <v>1.0</v>
      </c>
      <c r="K121" s="13">
        <v>1.0</v>
      </c>
      <c r="L121" s="13">
        <v>1.0</v>
      </c>
      <c r="M121" s="13">
        <v>1.0</v>
      </c>
      <c r="N121" s="13">
        <v>1.0</v>
      </c>
      <c r="O121" s="13">
        <v>1.0</v>
      </c>
      <c r="P121" s="15">
        <f t="shared" si="5"/>
        <v>1</v>
      </c>
      <c r="U121" s="23">
        <f t="shared" ref="U121:V121" si="123">(H121+J121+L121+N121)/4</f>
        <v>1</v>
      </c>
      <c r="V121" s="23">
        <f t="shared" si="123"/>
        <v>1</v>
      </c>
    </row>
    <row r="122">
      <c r="A122" s="3" t="s">
        <v>111</v>
      </c>
      <c r="B122" s="3" t="s">
        <v>45</v>
      </c>
      <c r="C122" s="3" t="s">
        <v>286</v>
      </c>
      <c r="D122" s="3" t="s">
        <v>112</v>
      </c>
      <c r="E122" s="11" t="s">
        <v>759</v>
      </c>
      <c r="F122" s="12" t="s">
        <v>412</v>
      </c>
      <c r="G122" s="10" t="s">
        <v>33</v>
      </c>
      <c r="H122" s="13">
        <v>1.0</v>
      </c>
      <c r="I122" s="13">
        <v>1.0</v>
      </c>
      <c r="J122" s="13">
        <v>1.0</v>
      </c>
      <c r="K122" s="13">
        <v>1.0</v>
      </c>
      <c r="L122" s="13">
        <v>1.0</v>
      </c>
      <c r="M122" s="13">
        <v>1.0</v>
      </c>
      <c r="N122" s="13">
        <v>1.0</v>
      </c>
      <c r="O122" s="13">
        <v>1.0</v>
      </c>
      <c r="P122" s="15">
        <f t="shared" si="5"/>
        <v>1</v>
      </c>
      <c r="U122" s="23">
        <f t="shared" ref="U122:V122" si="124">(H122+J122+L122+N122)/4</f>
        <v>1</v>
      </c>
      <c r="V122" s="23">
        <f t="shared" si="124"/>
        <v>1</v>
      </c>
    </row>
    <row r="123">
      <c r="A123" s="3" t="s">
        <v>115</v>
      </c>
      <c r="B123" s="3" t="s">
        <v>45</v>
      </c>
      <c r="C123" s="3" t="s">
        <v>286</v>
      </c>
      <c r="D123" s="3" t="s">
        <v>116</v>
      </c>
      <c r="E123" s="11" t="s">
        <v>760</v>
      </c>
      <c r="F123" s="12" t="s">
        <v>634</v>
      </c>
      <c r="G123" s="10" t="s">
        <v>33</v>
      </c>
      <c r="H123" s="13">
        <v>1.0</v>
      </c>
      <c r="I123" s="13">
        <v>1.0</v>
      </c>
      <c r="J123" s="13">
        <v>1.0</v>
      </c>
      <c r="K123" s="13">
        <v>1.0</v>
      </c>
      <c r="L123" s="13">
        <v>1.0</v>
      </c>
      <c r="M123" s="13">
        <v>1.0</v>
      </c>
      <c r="N123" s="13">
        <v>1.0</v>
      </c>
      <c r="O123" s="13">
        <v>1.0</v>
      </c>
      <c r="P123" s="15">
        <f t="shared" si="5"/>
        <v>1</v>
      </c>
      <c r="U123" s="23">
        <f t="shared" ref="U123:V123" si="125">(H123+J123+L123+N123)/4</f>
        <v>1</v>
      </c>
      <c r="V123" s="23">
        <f t="shared" si="125"/>
        <v>1</v>
      </c>
    </row>
    <row r="124">
      <c r="A124" s="3" t="s">
        <v>119</v>
      </c>
      <c r="B124" s="3" t="s">
        <v>45</v>
      </c>
      <c r="C124" s="3" t="s">
        <v>286</v>
      </c>
      <c r="D124" s="3" t="s">
        <v>120</v>
      </c>
      <c r="E124" s="11" t="s">
        <v>761</v>
      </c>
      <c r="F124" s="12" t="s">
        <v>636</v>
      </c>
      <c r="G124" s="10" t="s">
        <v>33</v>
      </c>
      <c r="H124" s="13">
        <v>1.0</v>
      </c>
      <c r="I124" s="13">
        <v>1.0</v>
      </c>
      <c r="J124" s="13">
        <v>1.0</v>
      </c>
      <c r="K124" s="13">
        <v>1.0</v>
      </c>
      <c r="L124" s="13">
        <v>1.0</v>
      </c>
      <c r="M124" s="13">
        <v>1.0</v>
      </c>
      <c r="N124" s="13">
        <v>1.0</v>
      </c>
      <c r="O124" s="13">
        <v>1.0</v>
      </c>
      <c r="P124" s="15">
        <f t="shared" si="5"/>
        <v>1</v>
      </c>
      <c r="U124" s="23">
        <f t="shared" ref="U124:V124" si="126">(H124+J124+L124+N124)/4</f>
        <v>1</v>
      </c>
      <c r="V124" s="23">
        <f t="shared" si="126"/>
        <v>1</v>
      </c>
    </row>
    <row r="125">
      <c r="A125" s="3" t="s">
        <v>123</v>
      </c>
      <c r="B125" s="3" t="s">
        <v>45</v>
      </c>
      <c r="C125" s="3" t="s">
        <v>286</v>
      </c>
      <c r="D125" s="3" t="s">
        <v>124</v>
      </c>
      <c r="E125" s="11" t="s">
        <v>762</v>
      </c>
      <c r="F125" s="12" t="s">
        <v>638</v>
      </c>
      <c r="G125" s="10" t="s">
        <v>33</v>
      </c>
      <c r="H125" s="13">
        <v>1.0</v>
      </c>
      <c r="I125" s="13">
        <v>1.0</v>
      </c>
      <c r="J125" s="13">
        <v>1.0</v>
      </c>
      <c r="K125" s="13">
        <v>1.0</v>
      </c>
      <c r="L125" s="13">
        <v>1.0</v>
      </c>
      <c r="M125" s="13">
        <v>1.0</v>
      </c>
      <c r="N125" s="13">
        <v>1.0</v>
      </c>
      <c r="O125" s="13">
        <v>1.0</v>
      </c>
      <c r="P125" s="15">
        <f t="shared" si="5"/>
        <v>1</v>
      </c>
      <c r="U125" s="23">
        <f t="shared" ref="U125:V125" si="127">(H125+J125+L125+N125)/4</f>
        <v>1</v>
      </c>
      <c r="V125" s="23">
        <f t="shared" si="127"/>
        <v>1</v>
      </c>
    </row>
    <row r="126">
      <c r="A126" s="3" t="s">
        <v>127</v>
      </c>
      <c r="B126" s="3" t="s">
        <v>45</v>
      </c>
      <c r="C126" s="3" t="s">
        <v>286</v>
      </c>
      <c r="D126" s="3" t="s">
        <v>128</v>
      </c>
      <c r="E126" s="11" t="s">
        <v>763</v>
      </c>
      <c r="F126" s="12" t="s">
        <v>640</v>
      </c>
      <c r="G126" s="10" t="s">
        <v>33</v>
      </c>
      <c r="H126" s="13">
        <v>1.0</v>
      </c>
      <c r="I126" s="13">
        <v>1.0</v>
      </c>
      <c r="J126" s="13">
        <v>1.0</v>
      </c>
      <c r="K126" s="13">
        <v>1.0</v>
      </c>
      <c r="L126" s="13">
        <v>1.0</v>
      </c>
      <c r="M126" s="13">
        <v>1.0</v>
      </c>
      <c r="N126" s="13">
        <v>1.0</v>
      </c>
      <c r="O126" s="13">
        <v>1.0</v>
      </c>
      <c r="P126" s="15">
        <f t="shared" si="5"/>
        <v>1</v>
      </c>
      <c r="U126" s="23">
        <f t="shared" ref="U126:V126" si="128">(H126+J126+L126+N126)/4</f>
        <v>1</v>
      </c>
      <c r="V126" s="23">
        <f t="shared" si="128"/>
        <v>1</v>
      </c>
    </row>
    <row r="127">
      <c r="A127" s="3" t="s">
        <v>131</v>
      </c>
      <c r="B127" s="3" t="s">
        <v>45</v>
      </c>
      <c r="C127" s="3" t="s">
        <v>286</v>
      </c>
      <c r="D127" s="3" t="s">
        <v>132</v>
      </c>
      <c r="E127" s="11" t="s">
        <v>764</v>
      </c>
      <c r="F127" s="12" t="s">
        <v>642</v>
      </c>
      <c r="G127" s="10" t="s">
        <v>33</v>
      </c>
      <c r="H127" s="13">
        <v>1.0</v>
      </c>
      <c r="I127" s="13">
        <v>1.0</v>
      </c>
      <c r="J127" s="13">
        <v>1.0</v>
      </c>
      <c r="K127" s="13">
        <v>1.0</v>
      </c>
      <c r="L127" s="13">
        <v>1.0</v>
      </c>
      <c r="M127" s="13">
        <v>1.0</v>
      </c>
      <c r="N127" s="13">
        <v>1.0</v>
      </c>
      <c r="O127" s="13">
        <v>1.0</v>
      </c>
      <c r="P127" s="15">
        <f t="shared" si="5"/>
        <v>1</v>
      </c>
      <c r="U127" s="23">
        <f t="shared" ref="U127:V127" si="129">(H127+J127+L127+N127)/4</f>
        <v>1</v>
      </c>
      <c r="V127" s="23">
        <f t="shared" si="129"/>
        <v>1</v>
      </c>
    </row>
    <row r="128">
      <c r="A128" s="3" t="s">
        <v>135</v>
      </c>
      <c r="B128" s="3" t="s">
        <v>45</v>
      </c>
      <c r="C128" s="3" t="s">
        <v>286</v>
      </c>
      <c r="D128" s="3" t="s">
        <v>136</v>
      </c>
      <c r="E128" s="11" t="s">
        <v>765</v>
      </c>
      <c r="F128" s="12" t="s">
        <v>644</v>
      </c>
      <c r="G128" s="10" t="s">
        <v>33</v>
      </c>
      <c r="H128" s="13">
        <v>1.0</v>
      </c>
      <c r="I128" s="13">
        <v>1.0</v>
      </c>
      <c r="J128" s="13">
        <v>1.0</v>
      </c>
      <c r="K128" s="13">
        <v>1.0</v>
      </c>
      <c r="L128" s="13">
        <v>1.0</v>
      </c>
      <c r="M128" s="13">
        <v>1.0</v>
      </c>
      <c r="N128" s="13">
        <v>1.0</v>
      </c>
      <c r="O128" s="13">
        <v>1.0</v>
      </c>
      <c r="P128" s="15">
        <f t="shared" si="5"/>
        <v>1</v>
      </c>
      <c r="U128" s="23">
        <f t="shared" ref="U128:V128" si="130">(H128+J128+L128+N128)/4</f>
        <v>1</v>
      </c>
      <c r="V128" s="23">
        <f t="shared" si="130"/>
        <v>1</v>
      </c>
    </row>
    <row r="129">
      <c r="A129" s="3" t="s">
        <v>139</v>
      </c>
      <c r="B129" s="3" t="s">
        <v>45</v>
      </c>
      <c r="C129" s="3" t="s">
        <v>286</v>
      </c>
      <c r="D129" s="3" t="s">
        <v>140</v>
      </c>
      <c r="E129" s="11" t="s">
        <v>766</v>
      </c>
      <c r="F129" s="12" t="s">
        <v>646</v>
      </c>
      <c r="G129" s="10" t="s">
        <v>39</v>
      </c>
      <c r="H129" s="13">
        <v>1.0</v>
      </c>
      <c r="I129" s="13">
        <v>0.0</v>
      </c>
      <c r="J129" s="13">
        <v>0.5</v>
      </c>
      <c r="K129" s="13">
        <v>0.0</v>
      </c>
      <c r="L129" s="13">
        <v>0.0</v>
      </c>
      <c r="M129" s="13">
        <v>0.0</v>
      </c>
      <c r="N129" s="13">
        <v>0.5</v>
      </c>
      <c r="O129" s="13">
        <v>0.0</v>
      </c>
      <c r="P129" s="15">
        <f t="shared" si="5"/>
        <v>0.5</v>
      </c>
      <c r="U129" s="23">
        <f t="shared" ref="U129:V129" si="131">(H129+J129+L129+N129)/4</f>
        <v>0.5</v>
      </c>
      <c r="V129" s="23">
        <f t="shared" si="131"/>
        <v>0</v>
      </c>
    </row>
    <row r="130">
      <c r="A130" s="3" t="s">
        <v>143</v>
      </c>
      <c r="B130" s="3" t="s">
        <v>45</v>
      </c>
      <c r="C130" s="3" t="s">
        <v>286</v>
      </c>
      <c r="D130" s="3" t="s">
        <v>144</v>
      </c>
      <c r="E130" s="11" t="s">
        <v>767</v>
      </c>
      <c r="F130" s="12" t="s">
        <v>648</v>
      </c>
      <c r="G130" s="10" t="s">
        <v>33</v>
      </c>
      <c r="H130" s="13">
        <v>1.0</v>
      </c>
      <c r="I130" s="13">
        <v>1.0</v>
      </c>
      <c r="J130" s="13">
        <v>1.0</v>
      </c>
      <c r="K130" s="13">
        <v>1.0</v>
      </c>
      <c r="L130" s="13">
        <v>1.0</v>
      </c>
      <c r="M130" s="13">
        <v>1.0</v>
      </c>
      <c r="N130" s="13">
        <v>1.0</v>
      </c>
      <c r="O130" s="13">
        <v>1.0</v>
      </c>
      <c r="P130" s="15">
        <f t="shared" si="5"/>
        <v>1</v>
      </c>
      <c r="U130" s="23">
        <f t="shared" ref="U130:V130" si="132">(H130+J130+L130+N130)/4</f>
        <v>1</v>
      </c>
      <c r="V130" s="23">
        <f t="shared" si="132"/>
        <v>1</v>
      </c>
    </row>
    <row r="131">
      <c r="A131" s="3" t="s">
        <v>147</v>
      </c>
      <c r="B131" s="3" t="s">
        <v>45</v>
      </c>
      <c r="C131" s="3" t="s">
        <v>286</v>
      </c>
      <c r="D131" s="3" t="s">
        <v>148</v>
      </c>
      <c r="E131" s="11" t="s">
        <v>768</v>
      </c>
      <c r="F131" s="12" t="s">
        <v>650</v>
      </c>
      <c r="G131" s="10" t="s">
        <v>33</v>
      </c>
      <c r="H131" s="13">
        <v>1.0</v>
      </c>
      <c r="I131" s="13">
        <v>1.0</v>
      </c>
      <c r="J131" s="13">
        <v>1.0</v>
      </c>
      <c r="K131" s="13">
        <v>1.0</v>
      </c>
      <c r="L131" s="13">
        <v>1.0</v>
      </c>
      <c r="M131" s="13">
        <v>1.0</v>
      </c>
      <c r="N131" s="13">
        <v>1.0</v>
      </c>
      <c r="O131" s="13">
        <v>1.0</v>
      </c>
      <c r="P131" s="15">
        <f t="shared" si="5"/>
        <v>1</v>
      </c>
      <c r="U131" s="23">
        <f t="shared" ref="U131:V131" si="133">(H131+J131+L131+N131)/4</f>
        <v>1</v>
      </c>
      <c r="V131" s="23">
        <f t="shared" si="133"/>
        <v>1</v>
      </c>
    </row>
    <row r="132">
      <c r="A132" s="3" t="s">
        <v>151</v>
      </c>
      <c r="B132" s="3" t="s">
        <v>45</v>
      </c>
      <c r="C132" s="3" t="s">
        <v>286</v>
      </c>
      <c r="D132" s="3" t="s">
        <v>152</v>
      </c>
      <c r="E132" s="11" t="s">
        <v>769</v>
      </c>
      <c r="F132" s="12" t="s">
        <v>652</v>
      </c>
      <c r="G132" s="10" t="s">
        <v>33</v>
      </c>
      <c r="H132" s="13">
        <v>1.0</v>
      </c>
      <c r="I132" s="13">
        <v>1.0</v>
      </c>
      <c r="J132" s="13">
        <v>1.0</v>
      </c>
      <c r="K132" s="13">
        <v>1.0</v>
      </c>
      <c r="L132" s="13">
        <v>0.5</v>
      </c>
      <c r="M132" s="13">
        <v>1.0</v>
      </c>
      <c r="N132" s="13">
        <v>1.0</v>
      </c>
      <c r="O132" s="13">
        <v>1.0</v>
      </c>
      <c r="P132" s="15">
        <f t="shared" si="5"/>
        <v>0.875</v>
      </c>
      <c r="U132" s="23">
        <f t="shared" ref="U132:V132" si="134">(H132+J132+L132+N132)/4</f>
        <v>0.875</v>
      </c>
      <c r="V132" s="23">
        <f t="shared" si="134"/>
        <v>1</v>
      </c>
    </row>
    <row r="133">
      <c r="A133" s="3" t="s">
        <v>155</v>
      </c>
      <c r="B133" s="3" t="s">
        <v>45</v>
      </c>
      <c r="C133" s="3" t="s">
        <v>286</v>
      </c>
      <c r="D133" s="3" t="s">
        <v>156</v>
      </c>
      <c r="E133" s="11" t="s">
        <v>770</v>
      </c>
      <c r="F133" s="12" t="s">
        <v>654</v>
      </c>
      <c r="G133" s="10" t="s">
        <v>33</v>
      </c>
      <c r="H133" s="13">
        <v>1.0</v>
      </c>
      <c r="I133" s="13">
        <v>1.0</v>
      </c>
      <c r="J133" s="13">
        <v>1.0</v>
      </c>
      <c r="K133" s="13">
        <v>1.0</v>
      </c>
      <c r="L133" s="13">
        <v>1.0</v>
      </c>
      <c r="M133" s="13">
        <v>1.0</v>
      </c>
      <c r="N133" s="13">
        <v>1.0</v>
      </c>
      <c r="O133" s="13">
        <v>1.0</v>
      </c>
      <c r="P133" s="15">
        <f t="shared" si="5"/>
        <v>1</v>
      </c>
      <c r="U133" s="23">
        <f t="shared" ref="U133:V133" si="135">(H133+J133+L133+N133)/4</f>
        <v>1</v>
      </c>
      <c r="V133" s="23">
        <f t="shared" si="135"/>
        <v>1</v>
      </c>
    </row>
    <row r="134">
      <c r="A134" s="3" t="s">
        <v>159</v>
      </c>
      <c r="B134" s="3" t="s">
        <v>45</v>
      </c>
      <c r="C134" s="3" t="s">
        <v>286</v>
      </c>
      <c r="D134" s="3" t="s">
        <v>160</v>
      </c>
      <c r="E134" s="11" t="s">
        <v>771</v>
      </c>
      <c r="F134" s="12" t="s">
        <v>656</v>
      </c>
      <c r="G134" s="10" t="s">
        <v>33</v>
      </c>
      <c r="H134" s="13">
        <v>1.0</v>
      </c>
      <c r="I134" s="13">
        <v>1.0</v>
      </c>
      <c r="J134" s="13">
        <v>1.0</v>
      </c>
      <c r="K134" s="13">
        <v>1.0</v>
      </c>
      <c r="L134" s="13">
        <v>1.0</v>
      </c>
      <c r="M134" s="13">
        <v>1.0</v>
      </c>
      <c r="N134" s="13">
        <v>1.0</v>
      </c>
      <c r="O134" s="13">
        <v>1.0</v>
      </c>
      <c r="P134" s="15">
        <f t="shared" si="5"/>
        <v>1</v>
      </c>
      <c r="U134" s="23">
        <f t="shared" ref="U134:V134" si="136">(H134+J134+L134+N134)/4</f>
        <v>1</v>
      </c>
      <c r="V134" s="23">
        <f t="shared" si="136"/>
        <v>1</v>
      </c>
    </row>
    <row r="135">
      <c r="A135" s="3" t="s">
        <v>163</v>
      </c>
      <c r="B135" s="3" t="s">
        <v>45</v>
      </c>
      <c r="C135" s="3" t="s">
        <v>286</v>
      </c>
      <c r="D135" s="3" t="s">
        <v>164</v>
      </c>
      <c r="E135" s="11" t="s">
        <v>772</v>
      </c>
      <c r="F135" s="12" t="s">
        <v>658</v>
      </c>
      <c r="G135" s="10" t="s">
        <v>33</v>
      </c>
      <c r="H135" s="13">
        <v>1.0</v>
      </c>
      <c r="I135" s="13">
        <v>1.0</v>
      </c>
      <c r="J135" s="13">
        <v>1.0</v>
      </c>
      <c r="K135" s="13">
        <v>1.0</v>
      </c>
      <c r="L135" s="13">
        <v>1.0</v>
      </c>
      <c r="M135" s="13">
        <v>1.0</v>
      </c>
      <c r="N135" s="13">
        <v>1.0</v>
      </c>
      <c r="O135" s="13">
        <v>1.0</v>
      </c>
      <c r="P135" s="15">
        <f t="shared" si="5"/>
        <v>1</v>
      </c>
      <c r="U135" s="23">
        <f t="shared" ref="U135:V135" si="137">(H135+J135+L135+N135)/4</f>
        <v>1</v>
      </c>
      <c r="V135" s="23">
        <f t="shared" si="137"/>
        <v>1</v>
      </c>
    </row>
    <row r="136">
      <c r="A136" s="3" t="s">
        <v>167</v>
      </c>
      <c r="B136" s="3" t="s">
        <v>45</v>
      </c>
      <c r="C136" s="3" t="s">
        <v>286</v>
      </c>
      <c r="D136" s="3" t="s">
        <v>168</v>
      </c>
      <c r="E136" s="11" t="s">
        <v>773</v>
      </c>
      <c r="F136" s="12" t="s">
        <v>391</v>
      </c>
      <c r="G136" s="10" t="s">
        <v>33</v>
      </c>
      <c r="H136" s="13">
        <v>1.0</v>
      </c>
      <c r="I136" s="13">
        <v>1.0</v>
      </c>
      <c r="J136" s="13">
        <v>1.0</v>
      </c>
      <c r="K136" s="13">
        <v>1.0</v>
      </c>
      <c r="L136" s="13">
        <v>1.0</v>
      </c>
      <c r="M136" s="13">
        <v>1.0</v>
      </c>
      <c r="N136" s="13">
        <v>1.0</v>
      </c>
      <c r="O136" s="13">
        <v>1.0</v>
      </c>
      <c r="P136" s="15">
        <f t="shared" si="5"/>
        <v>1</v>
      </c>
      <c r="U136" s="23">
        <f t="shared" ref="U136:V136" si="138">(H136+J136+L136+N136)/4</f>
        <v>1</v>
      </c>
      <c r="V136" s="23">
        <f t="shared" si="138"/>
        <v>1</v>
      </c>
    </row>
    <row r="137">
      <c r="A137" s="3" t="s">
        <v>171</v>
      </c>
      <c r="B137" s="3" t="s">
        <v>45</v>
      </c>
      <c r="C137" s="3" t="s">
        <v>286</v>
      </c>
      <c r="D137" s="3" t="s">
        <v>172</v>
      </c>
      <c r="E137" s="11" t="s">
        <v>774</v>
      </c>
      <c r="F137" s="12" t="s">
        <v>364</v>
      </c>
      <c r="G137" s="10" t="s">
        <v>33</v>
      </c>
      <c r="H137" s="13">
        <v>1.0</v>
      </c>
      <c r="I137" s="13">
        <v>1.0</v>
      </c>
      <c r="J137" s="13">
        <v>1.0</v>
      </c>
      <c r="K137" s="13">
        <v>1.0</v>
      </c>
      <c r="L137" s="13">
        <v>1.0</v>
      </c>
      <c r="M137" s="13">
        <v>1.0</v>
      </c>
      <c r="N137" s="13">
        <v>1.0</v>
      </c>
      <c r="O137" s="13">
        <v>1.0</v>
      </c>
      <c r="P137" s="15">
        <f t="shared" si="5"/>
        <v>1</v>
      </c>
      <c r="U137" s="23">
        <f t="shared" ref="U137:V137" si="139">(H137+J137+L137+N137)/4</f>
        <v>1</v>
      </c>
      <c r="V137" s="23">
        <f t="shared" si="139"/>
        <v>1</v>
      </c>
    </row>
    <row r="138">
      <c r="A138" s="3" t="s">
        <v>175</v>
      </c>
      <c r="B138" s="3" t="s">
        <v>45</v>
      </c>
      <c r="C138" s="3" t="s">
        <v>286</v>
      </c>
      <c r="D138" s="3" t="s">
        <v>176</v>
      </c>
      <c r="E138" s="11" t="s">
        <v>775</v>
      </c>
      <c r="F138" s="12" t="s">
        <v>662</v>
      </c>
      <c r="G138" s="10" t="s">
        <v>39</v>
      </c>
      <c r="H138" s="13">
        <v>0.5</v>
      </c>
      <c r="I138" s="13">
        <v>0.5</v>
      </c>
      <c r="J138" s="13">
        <v>1.0</v>
      </c>
      <c r="K138" s="13">
        <v>0.5</v>
      </c>
      <c r="L138" s="13">
        <v>0.0</v>
      </c>
      <c r="M138" s="13">
        <v>0.0</v>
      </c>
      <c r="N138" s="13">
        <v>0.5</v>
      </c>
      <c r="O138" s="13">
        <v>1.0</v>
      </c>
      <c r="P138" s="15">
        <f t="shared" si="5"/>
        <v>0.75</v>
      </c>
      <c r="U138" s="23">
        <f t="shared" ref="U138:V138" si="140">(H138+J138+L138+N138)/4</f>
        <v>0.5</v>
      </c>
      <c r="V138" s="23">
        <f t="shared" si="140"/>
        <v>0.5</v>
      </c>
    </row>
    <row r="139">
      <c r="A139" s="3" t="s">
        <v>179</v>
      </c>
      <c r="B139" s="3" t="s">
        <v>45</v>
      </c>
      <c r="C139" s="3" t="s">
        <v>286</v>
      </c>
      <c r="D139" s="3" t="s">
        <v>180</v>
      </c>
      <c r="E139" s="11" t="s">
        <v>776</v>
      </c>
      <c r="F139" s="12" t="s">
        <v>664</v>
      </c>
      <c r="G139" s="10" t="s">
        <v>33</v>
      </c>
      <c r="H139" s="13">
        <v>1.0</v>
      </c>
      <c r="I139" s="13">
        <v>1.0</v>
      </c>
      <c r="J139" s="13">
        <v>1.0</v>
      </c>
      <c r="K139" s="13">
        <v>1.0</v>
      </c>
      <c r="L139" s="13">
        <v>1.0</v>
      </c>
      <c r="M139" s="13">
        <v>1.0</v>
      </c>
      <c r="N139" s="13">
        <v>1.0</v>
      </c>
      <c r="O139" s="13">
        <v>1.0</v>
      </c>
      <c r="P139" s="15">
        <f t="shared" si="5"/>
        <v>1</v>
      </c>
      <c r="U139" s="23">
        <f t="shared" ref="U139:V139" si="141">(H139+J139+L139+N139)/4</f>
        <v>1</v>
      </c>
      <c r="V139" s="23">
        <f t="shared" si="141"/>
        <v>1</v>
      </c>
    </row>
    <row r="140">
      <c r="A140" s="3" t="s">
        <v>183</v>
      </c>
      <c r="B140" s="3" t="s">
        <v>45</v>
      </c>
      <c r="C140" s="3" t="s">
        <v>286</v>
      </c>
      <c r="D140" s="3" t="s">
        <v>184</v>
      </c>
      <c r="E140" s="11" t="s">
        <v>777</v>
      </c>
      <c r="F140" s="12" t="s">
        <v>666</v>
      </c>
      <c r="G140" s="10" t="s">
        <v>39</v>
      </c>
      <c r="H140" s="13">
        <v>0.5</v>
      </c>
      <c r="I140" s="13">
        <v>0.5</v>
      </c>
      <c r="J140" s="13">
        <v>0.5</v>
      </c>
      <c r="K140" s="13">
        <v>0.5</v>
      </c>
      <c r="L140" s="13">
        <v>0.0</v>
      </c>
      <c r="M140" s="13">
        <v>0.0</v>
      </c>
      <c r="N140" s="13">
        <v>0.0</v>
      </c>
      <c r="O140" s="13">
        <v>0.0</v>
      </c>
      <c r="P140" s="15">
        <f t="shared" si="5"/>
        <v>1</v>
      </c>
      <c r="U140" s="23">
        <f t="shared" ref="U140:V140" si="142">(H140+J140+L140+N140)/4</f>
        <v>0.25</v>
      </c>
      <c r="V140" s="23">
        <f t="shared" si="142"/>
        <v>0.25</v>
      </c>
    </row>
    <row r="141">
      <c r="A141" s="3" t="s">
        <v>187</v>
      </c>
      <c r="B141" s="3" t="s">
        <v>45</v>
      </c>
      <c r="C141" s="3" t="s">
        <v>286</v>
      </c>
      <c r="D141" s="3" t="s">
        <v>188</v>
      </c>
      <c r="E141" s="11" t="s">
        <v>778</v>
      </c>
      <c r="F141" s="12" t="s">
        <v>668</v>
      </c>
      <c r="G141" s="10" t="s">
        <v>33</v>
      </c>
      <c r="H141" s="13">
        <v>1.0</v>
      </c>
      <c r="I141" s="13">
        <v>1.0</v>
      </c>
      <c r="J141" s="13">
        <v>1.0</v>
      </c>
      <c r="K141" s="13">
        <v>1.0</v>
      </c>
      <c r="L141" s="13">
        <v>1.0</v>
      </c>
      <c r="M141" s="13">
        <v>1.0</v>
      </c>
      <c r="N141" s="13">
        <v>1.0</v>
      </c>
      <c r="O141" s="13">
        <v>1.0</v>
      </c>
      <c r="P141" s="15">
        <f t="shared" si="5"/>
        <v>1</v>
      </c>
      <c r="U141" s="23">
        <f t="shared" ref="U141:V141" si="143">(H141+J141+L141+N141)/4</f>
        <v>1</v>
      </c>
      <c r="V141" s="23">
        <f t="shared" si="143"/>
        <v>1</v>
      </c>
    </row>
    <row r="142">
      <c r="A142" s="3" t="s">
        <v>191</v>
      </c>
      <c r="B142" s="3" t="s">
        <v>45</v>
      </c>
      <c r="C142" s="3" t="s">
        <v>286</v>
      </c>
      <c r="D142" s="3" t="s">
        <v>192</v>
      </c>
      <c r="E142" s="11" t="s">
        <v>779</v>
      </c>
      <c r="F142" s="12" t="s">
        <v>385</v>
      </c>
      <c r="G142" s="10" t="s">
        <v>33</v>
      </c>
      <c r="H142" s="13">
        <v>1.0</v>
      </c>
      <c r="I142" s="13">
        <v>1.0</v>
      </c>
      <c r="J142" s="13">
        <v>1.0</v>
      </c>
      <c r="K142" s="13">
        <v>1.0</v>
      </c>
      <c r="L142" s="13">
        <v>1.0</v>
      </c>
      <c r="M142" s="13">
        <v>1.0</v>
      </c>
      <c r="N142" s="13">
        <v>1.0</v>
      </c>
      <c r="O142" s="13">
        <v>1.0</v>
      </c>
      <c r="P142" s="15">
        <f t="shared" si="5"/>
        <v>1</v>
      </c>
      <c r="U142" s="23">
        <f t="shared" ref="U142:V142" si="144">(H142+J142+L142+N142)/4</f>
        <v>1</v>
      </c>
      <c r="V142" s="23">
        <f t="shared" si="144"/>
        <v>1</v>
      </c>
    </row>
    <row r="143">
      <c r="A143" s="3" t="s">
        <v>195</v>
      </c>
      <c r="B143" s="3" t="s">
        <v>45</v>
      </c>
      <c r="C143" s="3" t="s">
        <v>286</v>
      </c>
      <c r="D143" s="3" t="s">
        <v>196</v>
      </c>
      <c r="E143" s="11" t="s">
        <v>780</v>
      </c>
      <c r="F143" s="12" t="s">
        <v>671</v>
      </c>
      <c r="G143" s="10" t="s">
        <v>33</v>
      </c>
      <c r="H143" s="13">
        <v>1.0</v>
      </c>
      <c r="I143" s="13">
        <v>1.0</v>
      </c>
      <c r="J143" s="13">
        <v>1.0</v>
      </c>
      <c r="K143" s="13">
        <v>1.0</v>
      </c>
      <c r="L143" s="13">
        <v>0.5</v>
      </c>
      <c r="M143" s="13">
        <v>1.0</v>
      </c>
      <c r="N143" s="13">
        <v>1.0</v>
      </c>
      <c r="O143" s="13">
        <v>1.0</v>
      </c>
      <c r="P143" s="15">
        <f t="shared" si="5"/>
        <v>0.875</v>
      </c>
      <c r="U143" s="23">
        <f t="shared" ref="U143:V143" si="145">(H143+J143+L143+N143)/4</f>
        <v>0.875</v>
      </c>
      <c r="V143" s="23">
        <f t="shared" si="145"/>
        <v>1</v>
      </c>
    </row>
    <row r="144">
      <c r="A144" s="3" t="s">
        <v>199</v>
      </c>
      <c r="B144" s="3" t="s">
        <v>45</v>
      </c>
      <c r="C144" s="3" t="s">
        <v>286</v>
      </c>
      <c r="D144" s="3" t="s">
        <v>200</v>
      </c>
      <c r="E144" s="11" t="s">
        <v>781</v>
      </c>
      <c r="F144" s="12" t="s">
        <v>673</v>
      </c>
      <c r="G144" s="10" t="s">
        <v>39</v>
      </c>
      <c r="H144" s="13">
        <v>0.5</v>
      </c>
      <c r="I144" s="13">
        <v>0.5</v>
      </c>
      <c r="J144" s="13">
        <v>1.0</v>
      </c>
      <c r="K144" s="13">
        <v>1.0</v>
      </c>
      <c r="L144" s="13">
        <v>0.0</v>
      </c>
      <c r="M144" s="13">
        <v>0.0</v>
      </c>
      <c r="N144" s="13">
        <v>1.0</v>
      </c>
      <c r="O144" s="13">
        <v>1.0</v>
      </c>
      <c r="P144" s="15">
        <f t="shared" si="5"/>
        <v>1</v>
      </c>
      <c r="U144" s="23">
        <f t="shared" ref="U144:V144" si="146">(H144+J144+L144+N144)/4</f>
        <v>0.625</v>
      </c>
      <c r="V144" s="23">
        <f t="shared" si="146"/>
        <v>0.625</v>
      </c>
    </row>
    <row r="145">
      <c r="A145" s="3" t="s">
        <v>203</v>
      </c>
      <c r="B145" s="3" t="s">
        <v>45</v>
      </c>
      <c r="C145" s="3" t="s">
        <v>286</v>
      </c>
      <c r="D145" s="3" t="s">
        <v>204</v>
      </c>
      <c r="E145" s="11" t="s">
        <v>782</v>
      </c>
      <c r="F145" s="12" t="s">
        <v>675</v>
      </c>
      <c r="G145" s="10" t="s">
        <v>33</v>
      </c>
      <c r="H145" s="13">
        <v>1.0</v>
      </c>
      <c r="I145" s="13">
        <v>1.0</v>
      </c>
      <c r="J145" s="13">
        <v>1.0</v>
      </c>
      <c r="K145" s="13">
        <v>1.0</v>
      </c>
      <c r="L145" s="13">
        <v>1.0</v>
      </c>
      <c r="M145" s="13">
        <v>1.0</v>
      </c>
      <c r="N145" s="13">
        <v>1.0</v>
      </c>
      <c r="O145" s="13">
        <v>1.0</v>
      </c>
      <c r="P145" s="15">
        <f t="shared" si="5"/>
        <v>1</v>
      </c>
      <c r="U145" s="23">
        <f t="shared" ref="U145:V145" si="147">(H145+J145+L145+N145)/4</f>
        <v>1</v>
      </c>
      <c r="V145" s="23">
        <f t="shared" si="147"/>
        <v>1</v>
      </c>
    </row>
    <row r="146">
      <c r="A146" s="3" t="s">
        <v>207</v>
      </c>
      <c r="B146" s="3" t="s">
        <v>45</v>
      </c>
      <c r="C146" s="3" t="s">
        <v>286</v>
      </c>
      <c r="D146" s="3" t="s">
        <v>208</v>
      </c>
      <c r="E146" s="11" t="s">
        <v>783</v>
      </c>
      <c r="F146" s="12" t="s">
        <v>677</v>
      </c>
      <c r="G146" s="10" t="s">
        <v>33</v>
      </c>
      <c r="H146" s="13">
        <v>1.0</v>
      </c>
      <c r="I146" s="13">
        <v>1.0</v>
      </c>
      <c r="J146" s="13">
        <v>1.0</v>
      </c>
      <c r="K146" s="13">
        <v>1.0</v>
      </c>
      <c r="L146" s="13">
        <v>1.0</v>
      </c>
      <c r="M146" s="13">
        <v>1.0</v>
      </c>
      <c r="N146" s="13">
        <v>1.0</v>
      </c>
      <c r="O146" s="13">
        <v>1.0</v>
      </c>
      <c r="P146" s="15">
        <f t="shared" si="5"/>
        <v>1</v>
      </c>
      <c r="U146" s="23">
        <f t="shared" ref="U146:V146" si="148">(H146+J146+L146+N146)/4</f>
        <v>1</v>
      </c>
      <c r="V146" s="23">
        <f t="shared" si="148"/>
        <v>1</v>
      </c>
    </row>
    <row r="147">
      <c r="A147" s="3" t="s">
        <v>211</v>
      </c>
      <c r="B147" s="3" t="s">
        <v>45</v>
      </c>
      <c r="C147" s="3" t="s">
        <v>286</v>
      </c>
      <c r="D147" s="3" t="s">
        <v>212</v>
      </c>
      <c r="E147" s="11" t="s">
        <v>784</v>
      </c>
      <c r="F147" s="12" t="s">
        <v>679</v>
      </c>
      <c r="G147" s="10" t="s">
        <v>33</v>
      </c>
      <c r="H147" s="13">
        <v>1.0</v>
      </c>
      <c r="I147" s="13">
        <v>1.0</v>
      </c>
      <c r="J147" s="13">
        <v>1.0</v>
      </c>
      <c r="K147" s="13">
        <v>1.0</v>
      </c>
      <c r="L147" s="13">
        <v>0.5</v>
      </c>
      <c r="M147" s="13">
        <v>1.0</v>
      </c>
      <c r="N147" s="13">
        <v>1.0</v>
      </c>
      <c r="O147" s="13">
        <v>1.0</v>
      </c>
      <c r="P147" s="15">
        <f t="shared" si="5"/>
        <v>0.875</v>
      </c>
      <c r="U147" s="23">
        <f t="shared" ref="U147:V147" si="149">(H147+J147+L147+N147)/4</f>
        <v>0.875</v>
      </c>
      <c r="V147" s="23">
        <f t="shared" si="149"/>
        <v>1</v>
      </c>
    </row>
    <row r="148">
      <c r="A148" s="3" t="s">
        <v>215</v>
      </c>
      <c r="B148" s="3" t="s">
        <v>45</v>
      </c>
      <c r="C148" s="3" t="s">
        <v>286</v>
      </c>
      <c r="D148" s="3" t="s">
        <v>216</v>
      </c>
      <c r="E148" s="11" t="s">
        <v>785</v>
      </c>
      <c r="F148" s="12" t="s">
        <v>681</v>
      </c>
      <c r="G148" s="10" t="s">
        <v>33</v>
      </c>
      <c r="H148" s="13">
        <v>1.0</v>
      </c>
      <c r="I148" s="13">
        <v>1.0</v>
      </c>
      <c r="J148" s="13">
        <v>1.0</v>
      </c>
      <c r="K148" s="13">
        <v>1.0</v>
      </c>
      <c r="L148" s="13">
        <v>1.0</v>
      </c>
      <c r="M148" s="13">
        <v>1.0</v>
      </c>
      <c r="N148" s="13">
        <v>1.0</v>
      </c>
      <c r="O148" s="13">
        <v>1.0</v>
      </c>
      <c r="P148" s="15">
        <f t="shared" si="5"/>
        <v>1</v>
      </c>
      <c r="U148" s="23">
        <f t="shared" ref="U148:V148" si="150">(H148+J148+L148+N148)/4</f>
        <v>1</v>
      </c>
      <c r="V148" s="23">
        <f t="shared" si="150"/>
        <v>1</v>
      </c>
    </row>
    <row r="149">
      <c r="A149" s="3" t="s">
        <v>219</v>
      </c>
      <c r="B149" s="3" t="s">
        <v>45</v>
      </c>
      <c r="C149" s="3" t="s">
        <v>286</v>
      </c>
      <c r="D149" s="3" t="s">
        <v>220</v>
      </c>
      <c r="E149" s="11" t="s">
        <v>786</v>
      </c>
      <c r="F149" s="12" t="s">
        <v>683</v>
      </c>
      <c r="G149" s="10" t="s">
        <v>33</v>
      </c>
      <c r="H149" s="13">
        <v>1.0</v>
      </c>
      <c r="I149" s="13">
        <v>1.0</v>
      </c>
      <c r="J149" s="13">
        <v>1.0</v>
      </c>
      <c r="K149" s="13">
        <v>1.0</v>
      </c>
      <c r="L149" s="13">
        <v>1.0</v>
      </c>
      <c r="M149" s="13">
        <v>1.0</v>
      </c>
      <c r="N149" s="13">
        <v>1.0</v>
      </c>
      <c r="O149" s="13">
        <v>1.0</v>
      </c>
      <c r="P149" s="15">
        <f t="shared" si="5"/>
        <v>1</v>
      </c>
      <c r="U149" s="23">
        <f t="shared" ref="U149:V149" si="151">(H149+J149+L149+N149)/4</f>
        <v>1</v>
      </c>
      <c r="V149" s="23">
        <f t="shared" si="151"/>
        <v>1</v>
      </c>
    </row>
    <row r="150">
      <c r="A150" s="3" t="s">
        <v>223</v>
      </c>
      <c r="B150" s="3" t="s">
        <v>45</v>
      </c>
      <c r="C150" s="3" t="s">
        <v>286</v>
      </c>
      <c r="D150" s="3" t="s">
        <v>224</v>
      </c>
      <c r="E150" s="11" t="s">
        <v>787</v>
      </c>
      <c r="F150" s="12" t="s">
        <v>685</v>
      </c>
      <c r="G150" s="10" t="s">
        <v>33</v>
      </c>
      <c r="H150" s="13">
        <v>1.0</v>
      </c>
      <c r="I150" s="13">
        <v>1.0</v>
      </c>
      <c r="J150" s="13">
        <v>1.0</v>
      </c>
      <c r="K150" s="13">
        <v>1.0</v>
      </c>
      <c r="L150" s="13">
        <v>1.0</v>
      </c>
      <c r="M150" s="13">
        <v>1.0</v>
      </c>
      <c r="N150" s="13">
        <v>1.0</v>
      </c>
      <c r="O150" s="13">
        <v>1.0</v>
      </c>
      <c r="P150" s="15">
        <f t="shared" si="5"/>
        <v>1</v>
      </c>
      <c r="U150" s="23">
        <f t="shared" ref="U150:V150" si="152">(H150+J150+L150+N150)/4</f>
        <v>1</v>
      </c>
      <c r="V150" s="23">
        <f t="shared" si="152"/>
        <v>1</v>
      </c>
    </row>
    <row r="151">
      <c r="A151" s="3" t="s">
        <v>227</v>
      </c>
      <c r="B151" s="3" t="s">
        <v>45</v>
      </c>
      <c r="C151" s="3" t="s">
        <v>286</v>
      </c>
      <c r="D151" s="3" t="s">
        <v>228</v>
      </c>
      <c r="E151" s="11" t="s">
        <v>788</v>
      </c>
      <c r="F151" s="12" t="s">
        <v>687</v>
      </c>
      <c r="G151" s="10" t="s">
        <v>33</v>
      </c>
      <c r="H151" s="13">
        <v>1.0</v>
      </c>
      <c r="I151" s="13">
        <v>1.0</v>
      </c>
      <c r="J151" s="13">
        <v>1.0</v>
      </c>
      <c r="K151" s="13">
        <v>1.0</v>
      </c>
      <c r="L151" s="13">
        <v>1.0</v>
      </c>
      <c r="M151" s="13">
        <v>1.0</v>
      </c>
      <c r="N151" s="13">
        <v>1.0</v>
      </c>
      <c r="O151" s="13">
        <v>1.0</v>
      </c>
      <c r="P151" s="15">
        <f t="shared" si="5"/>
        <v>1</v>
      </c>
      <c r="U151" s="23">
        <f t="shared" ref="U151:V151" si="153">(H151+J151+L151+N151)/4</f>
        <v>1</v>
      </c>
      <c r="V151" s="23">
        <f t="shared" si="153"/>
        <v>1</v>
      </c>
    </row>
    <row r="152">
      <c r="A152" s="3" t="s">
        <v>231</v>
      </c>
      <c r="B152" s="3" t="s">
        <v>45</v>
      </c>
      <c r="C152" s="3" t="s">
        <v>286</v>
      </c>
      <c r="D152" s="3" t="s">
        <v>232</v>
      </c>
      <c r="E152" s="11" t="s">
        <v>789</v>
      </c>
      <c r="F152" s="12" t="s">
        <v>689</v>
      </c>
      <c r="G152" s="10" t="s">
        <v>39</v>
      </c>
      <c r="H152" s="13">
        <v>1.0</v>
      </c>
      <c r="I152" s="13">
        <v>1.0</v>
      </c>
      <c r="J152" s="13">
        <v>1.0</v>
      </c>
      <c r="K152" s="13">
        <v>1.0</v>
      </c>
      <c r="L152" s="13">
        <v>1.0</v>
      </c>
      <c r="M152" s="13">
        <v>1.0</v>
      </c>
      <c r="N152" s="13">
        <v>1.0</v>
      </c>
      <c r="O152" s="13">
        <v>1.0</v>
      </c>
      <c r="P152" s="15">
        <f t="shared" si="5"/>
        <v>1</v>
      </c>
      <c r="U152" s="23">
        <f t="shared" ref="U152:V152" si="154">(H152+J152+L152+N152)/4</f>
        <v>1</v>
      </c>
      <c r="V152" s="23">
        <f t="shared" si="154"/>
        <v>1</v>
      </c>
    </row>
    <row r="153">
      <c r="B153" s="23"/>
      <c r="C153" s="23"/>
      <c r="E153" s="5"/>
      <c r="G153" s="23"/>
      <c r="H153" s="23"/>
      <c r="I153" s="23"/>
      <c r="J153" s="23"/>
      <c r="K153" s="23"/>
      <c r="L153" s="23"/>
      <c r="M153" s="23"/>
      <c r="N153" s="23"/>
      <c r="O153" s="23"/>
    </row>
    <row r="154">
      <c r="B154" s="23"/>
      <c r="C154" s="23"/>
      <c r="E154" s="24"/>
      <c r="G154" s="23"/>
      <c r="H154" s="23"/>
      <c r="I154" s="23"/>
      <c r="J154" s="23"/>
      <c r="K154" s="23"/>
      <c r="L154" s="23"/>
      <c r="M154" s="23"/>
      <c r="N154" s="23"/>
      <c r="O154" s="23"/>
    </row>
    <row r="155">
      <c r="B155" s="23"/>
      <c r="C155" s="23"/>
      <c r="E155" s="24"/>
      <c r="G155" s="23"/>
      <c r="H155" s="23"/>
      <c r="I155" s="23"/>
      <c r="J155" s="23"/>
      <c r="K155" s="23"/>
      <c r="L155" s="23"/>
      <c r="M155" s="23"/>
      <c r="N155" s="23"/>
      <c r="O155" s="23"/>
    </row>
    <row r="156">
      <c r="B156" s="23"/>
      <c r="C156" s="23"/>
      <c r="E156" s="24"/>
      <c r="G156" s="23"/>
      <c r="H156" s="23"/>
      <c r="I156" s="23"/>
      <c r="J156" s="23"/>
      <c r="K156" s="23"/>
      <c r="L156" s="23"/>
      <c r="M156" s="23"/>
      <c r="N156" s="23"/>
      <c r="O156" s="23"/>
    </row>
    <row r="157">
      <c r="B157" s="23"/>
      <c r="C157" s="23"/>
      <c r="E157" s="24"/>
      <c r="G157" s="23"/>
      <c r="H157" s="23"/>
      <c r="I157" s="23"/>
      <c r="J157" s="23"/>
      <c r="K157" s="23"/>
      <c r="L157" s="23"/>
      <c r="M157" s="23"/>
      <c r="N157" s="23"/>
      <c r="O157" s="23"/>
    </row>
    <row r="158">
      <c r="B158" s="23"/>
      <c r="C158" s="23"/>
      <c r="E158" s="24"/>
      <c r="G158" s="23"/>
      <c r="H158" s="23"/>
      <c r="I158" s="23"/>
      <c r="J158" s="23"/>
      <c r="K158" s="23"/>
      <c r="L158" s="23"/>
      <c r="M158" s="23"/>
      <c r="N158" s="23"/>
      <c r="O158" s="23"/>
    </row>
    <row r="159">
      <c r="B159" s="23"/>
      <c r="C159" s="23"/>
      <c r="E159" s="24"/>
      <c r="G159" s="23"/>
      <c r="H159" s="23"/>
      <c r="I159" s="23"/>
      <c r="J159" s="23"/>
      <c r="K159" s="23"/>
      <c r="L159" s="23"/>
      <c r="M159" s="23"/>
      <c r="N159" s="23"/>
      <c r="O159" s="23"/>
    </row>
    <row r="160">
      <c r="B160" s="23"/>
      <c r="C160" s="23"/>
      <c r="E160" s="24"/>
      <c r="G160" s="23"/>
      <c r="H160" s="23"/>
      <c r="I160" s="23"/>
      <c r="J160" s="23"/>
      <c r="K160" s="23"/>
      <c r="L160" s="23"/>
      <c r="M160" s="23"/>
      <c r="N160" s="23"/>
      <c r="O160" s="23"/>
    </row>
    <row r="161">
      <c r="B161" s="23"/>
      <c r="C161" s="23"/>
      <c r="E161" s="24"/>
      <c r="G161" s="23"/>
      <c r="H161" s="23"/>
      <c r="I161" s="23"/>
      <c r="J161" s="23"/>
      <c r="K161" s="23"/>
      <c r="L161" s="23"/>
      <c r="M161" s="23"/>
      <c r="N161" s="23"/>
      <c r="O161" s="23"/>
    </row>
    <row r="162">
      <c r="B162" s="23"/>
      <c r="C162" s="23"/>
      <c r="E162" s="24"/>
      <c r="G162" s="23"/>
      <c r="H162" s="23"/>
      <c r="I162" s="23"/>
      <c r="J162" s="23"/>
      <c r="K162" s="23"/>
      <c r="L162" s="23"/>
      <c r="M162" s="23"/>
      <c r="N162" s="23"/>
      <c r="O162" s="23"/>
    </row>
    <row r="163">
      <c r="B163" s="23"/>
      <c r="C163" s="23"/>
      <c r="E163" s="24"/>
      <c r="G163" s="23"/>
      <c r="H163" s="23"/>
      <c r="I163" s="23"/>
      <c r="J163" s="23"/>
      <c r="K163" s="23"/>
      <c r="L163" s="23"/>
      <c r="M163" s="23"/>
      <c r="N163" s="23"/>
      <c r="O163" s="23"/>
    </row>
    <row r="164">
      <c r="B164" s="23"/>
      <c r="C164" s="23"/>
      <c r="E164" s="24"/>
      <c r="G164" s="23"/>
      <c r="H164" s="23"/>
      <c r="I164" s="23"/>
      <c r="J164" s="23"/>
      <c r="K164" s="23"/>
      <c r="L164" s="23"/>
      <c r="M164" s="23"/>
      <c r="N164" s="23"/>
      <c r="O164" s="23"/>
    </row>
    <row r="165">
      <c r="B165" s="23"/>
      <c r="C165" s="23"/>
      <c r="E165" s="24"/>
      <c r="G165" s="23"/>
      <c r="H165" s="23"/>
      <c r="I165" s="23"/>
      <c r="J165" s="23"/>
      <c r="K165" s="23"/>
      <c r="L165" s="23"/>
      <c r="M165" s="23"/>
      <c r="N165" s="23"/>
      <c r="O165" s="23"/>
    </row>
    <row r="166">
      <c r="B166" s="23"/>
      <c r="C166" s="23"/>
      <c r="E166" s="24"/>
      <c r="G166" s="23"/>
      <c r="H166" s="23"/>
      <c r="I166" s="23"/>
      <c r="J166" s="23"/>
      <c r="K166" s="23"/>
      <c r="L166" s="23"/>
      <c r="M166" s="23"/>
      <c r="N166" s="23"/>
      <c r="O166" s="23"/>
    </row>
    <row r="167">
      <c r="B167" s="23"/>
      <c r="C167" s="23"/>
      <c r="E167" s="24"/>
      <c r="G167" s="23"/>
      <c r="H167" s="23"/>
      <c r="I167" s="23"/>
      <c r="J167" s="23"/>
      <c r="K167" s="23"/>
      <c r="L167" s="23"/>
      <c r="M167" s="23"/>
      <c r="N167" s="23"/>
      <c r="O167" s="23"/>
    </row>
    <row r="168">
      <c r="B168" s="23"/>
      <c r="C168" s="23"/>
      <c r="E168" s="24"/>
      <c r="G168" s="23"/>
      <c r="H168" s="23"/>
      <c r="I168" s="23"/>
      <c r="J168" s="23"/>
      <c r="K168" s="23"/>
      <c r="L168" s="23"/>
      <c r="M168" s="23"/>
      <c r="N168" s="23"/>
      <c r="O168" s="23"/>
    </row>
    <row r="169">
      <c r="B169" s="23"/>
      <c r="C169" s="23"/>
      <c r="E169" s="24"/>
      <c r="G169" s="23"/>
      <c r="H169" s="23"/>
      <c r="I169" s="23"/>
      <c r="J169" s="23"/>
      <c r="K169" s="23"/>
      <c r="L169" s="23"/>
      <c r="M169" s="23"/>
      <c r="N169" s="23"/>
      <c r="O169" s="23"/>
    </row>
    <row r="170">
      <c r="B170" s="23"/>
      <c r="C170" s="23"/>
      <c r="E170" s="24"/>
      <c r="G170" s="23"/>
      <c r="H170" s="23"/>
      <c r="I170" s="23"/>
      <c r="J170" s="23"/>
      <c r="K170" s="23"/>
      <c r="L170" s="23"/>
      <c r="M170" s="23"/>
      <c r="N170" s="23"/>
      <c r="O170" s="23"/>
    </row>
    <row r="171">
      <c r="B171" s="23"/>
      <c r="C171" s="23"/>
      <c r="E171" s="24"/>
      <c r="G171" s="23"/>
      <c r="H171" s="23"/>
      <c r="I171" s="23"/>
      <c r="J171" s="23"/>
      <c r="K171" s="23"/>
      <c r="L171" s="23"/>
      <c r="M171" s="23"/>
      <c r="N171" s="23"/>
      <c r="O171" s="23"/>
    </row>
    <row r="172">
      <c r="B172" s="23"/>
      <c r="C172" s="23"/>
      <c r="E172" s="24"/>
      <c r="G172" s="23"/>
      <c r="H172" s="23"/>
      <c r="I172" s="23"/>
      <c r="J172" s="23"/>
      <c r="K172" s="23"/>
      <c r="L172" s="23"/>
      <c r="M172" s="23"/>
      <c r="N172" s="23"/>
      <c r="O172" s="23"/>
    </row>
    <row r="173">
      <c r="B173" s="23"/>
      <c r="C173" s="23"/>
      <c r="E173" s="24"/>
      <c r="G173" s="23"/>
      <c r="H173" s="23"/>
      <c r="I173" s="23"/>
      <c r="J173" s="23"/>
      <c r="K173" s="23"/>
      <c r="L173" s="23"/>
      <c r="M173" s="23"/>
      <c r="N173" s="23"/>
      <c r="O173" s="23"/>
    </row>
    <row r="174">
      <c r="B174" s="23"/>
      <c r="C174" s="23"/>
      <c r="E174" s="24"/>
      <c r="G174" s="23"/>
      <c r="H174" s="23"/>
      <c r="I174" s="23"/>
      <c r="J174" s="23"/>
      <c r="K174" s="23"/>
      <c r="L174" s="23"/>
      <c r="M174" s="23"/>
      <c r="N174" s="23"/>
      <c r="O174" s="23"/>
    </row>
    <row r="175">
      <c r="B175" s="23"/>
      <c r="C175" s="23"/>
      <c r="E175" s="24"/>
      <c r="G175" s="23"/>
      <c r="H175" s="23"/>
      <c r="I175" s="23"/>
      <c r="J175" s="23"/>
      <c r="K175" s="23"/>
      <c r="L175" s="23"/>
      <c r="M175" s="23"/>
      <c r="N175" s="23"/>
      <c r="O175" s="23"/>
    </row>
    <row r="176">
      <c r="B176" s="23"/>
      <c r="C176" s="23"/>
      <c r="E176" s="24"/>
      <c r="G176" s="23"/>
      <c r="H176" s="23"/>
      <c r="I176" s="23"/>
      <c r="J176" s="23"/>
      <c r="K176" s="23"/>
      <c r="L176" s="23"/>
      <c r="M176" s="23"/>
      <c r="N176" s="23"/>
      <c r="O176" s="23"/>
    </row>
    <row r="177">
      <c r="B177" s="23"/>
      <c r="C177" s="23"/>
      <c r="E177" s="24"/>
      <c r="G177" s="23"/>
      <c r="H177" s="23"/>
      <c r="I177" s="23"/>
      <c r="J177" s="23"/>
      <c r="K177" s="23"/>
      <c r="L177" s="23"/>
      <c r="M177" s="23"/>
      <c r="N177" s="23"/>
      <c r="O177" s="23"/>
    </row>
    <row r="178">
      <c r="B178" s="23"/>
      <c r="C178" s="23"/>
      <c r="E178" s="24"/>
      <c r="G178" s="23"/>
      <c r="H178" s="23"/>
      <c r="I178" s="23"/>
      <c r="J178" s="23"/>
      <c r="K178" s="23"/>
      <c r="L178" s="23"/>
      <c r="M178" s="23"/>
      <c r="N178" s="23"/>
      <c r="O178" s="23"/>
    </row>
    <row r="179">
      <c r="B179" s="23"/>
      <c r="C179" s="23"/>
      <c r="E179" s="24"/>
      <c r="G179" s="23"/>
      <c r="H179" s="23"/>
      <c r="I179" s="23"/>
      <c r="J179" s="23"/>
      <c r="K179" s="23"/>
      <c r="L179" s="23"/>
      <c r="M179" s="23"/>
      <c r="N179" s="23"/>
      <c r="O179" s="23"/>
    </row>
    <row r="180">
      <c r="B180" s="23"/>
      <c r="C180" s="23"/>
      <c r="E180" s="24"/>
      <c r="G180" s="23"/>
      <c r="H180" s="23"/>
      <c r="I180" s="23"/>
      <c r="J180" s="23"/>
      <c r="K180" s="23"/>
      <c r="L180" s="23"/>
      <c r="M180" s="23"/>
      <c r="N180" s="23"/>
      <c r="O180" s="23"/>
    </row>
    <row r="181">
      <c r="B181" s="23"/>
      <c r="C181" s="23"/>
      <c r="E181" s="24"/>
      <c r="G181" s="23"/>
      <c r="H181" s="23"/>
      <c r="I181" s="23"/>
      <c r="J181" s="23"/>
      <c r="K181" s="23"/>
      <c r="L181" s="23"/>
      <c r="M181" s="23"/>
      <c r="N181" s="23"/>
      <c r="O181" s="23"/>
    </row>
    <row r="182">
      <c r="B182" s="23"/>
      <c r="C182" s="23"/>
      <c r="E182" s="24"/>
      <c r="G182" s="23"/>
      <c r="H182" s="23"/>
      <c r="I182" s="23"/>
      <c r="J182" s="23"/>
      <c r="K182" s="23"/>
      <c r="L182" s="23"/>
      <c r="M182" s="23"/>
      <c r="N182" s="23"/>
      <c r="O182" s="23"/>
    </row>
    <row r="183">
      <c r="B183" s="23"/>
      <c r="C183" s="23"/>
      <c r="E183" s="24"/>
      <c r="G183" s="23"/>
      <c r="H183" s="23"/>
      <c r="I183" s="23"/>
      <c r="J183" s="23"/>
      <c r="K183" s="23"/>
      <c r="L183" s="23"/>
      <c r="M183" s="23"/>
      <c r="N183" s="23"/>
      <c r="O183" s="23"/>
    </row>
    <row r="184">
      <c r="B184" s="23"/>
      <c r="C184" s="23"/>
      <c r="E184" s="24"/>
      <c r="G184" s="23"/>
      <c r="H184" s="23"/>
      <c r="I184" s="23"/>
      <c r="J184" s="23"/>
      <c r="K184" s="23"/>
      <c r="L184" s="23"/>
      <c r="M184" s="23"/>
      <c r="N184" s="23"/>
      <c r="O184" s="23"/>
    </row>
    <row r="185">
      <c r="B185" s="23"/>
      <c r="C185" s="23"/>
      <c r="E185" s="24"/>
      <c r="G185" s="23"/>
      <c r="H185" s="23"/>
      <c r="I185" s="23"/>
      <c r="J185" s="23"/>
      <c r="K185" s="23"/>
      <c r="L185" s="23"/>
      <c r="M185" s="23"/>
      <c r="N185" s="23"/>
      <c r="O185" s="23"/>
    </row>
    <row r="186">
      <c r="B186" s="23"/>
      <c r="C186" s="23"/>
      <c r="E186" s="24"/>
      <c r="G186" s="23"/>
      <c r="H186" s="23"/>
      <c r="I186" s="23"/>
      <c r="J186" s="23"/>
      <c r="K186" s="23"/>
      <c r="L186" s="23"/>
      <c r="M186" s="23"/>
      <c r="N186" s="23"/>
      <c r="O186" s="23"/>
    </row>
    <row r="187">
      <c r="B187" s="23"/>
      <c r="C187" s="23"/>
      <c r="E187" s="24"/>
      <c r="G187" s="23"/>
      <c r="H187" s="23"/>
      <c r="I187" s="23"/>
      <c r="J187" s="23"/>
      <c r="K187" s="23"/>
      <c r="L187" s="23"/>
      <c r="M187" s="23"/>
      <c r="N187" s="23"/>
      <c r="O187" s="23"/>
    </row>
    <row r="188">
      <c r="B188" s="23"/>
      <c r="C188" s="23"/>
      <c r="E188" s="24"/>
      <c r="G188" s="23"/>
      <c r="H188" s="23"/>
      <c r="I188" s="23"/>
      <c r="J188" s="23"/>
      <c r="K188" s="23"/>
      <c r="L188" s="23"/>
      <c r="M188" s="23"/>
      <c r="N188" s="23"/>
      <c r="O188" s="23"/>
    </row>
    <row r="189">
      <c r="B189" s="23"/>
      <c r="C189" s="23"/>
      <c r="E189" s="24"/>
      <c r="G189" s="23"/>
      <c r="H189" s="23"/>
      <c r="I189" s="23"/>
      <c r="J189" s="23"/>
      <c r="K189" s="23"/>
      <c r="L189" s="23"/>
      <c r="M189" s="23"/>
      <c r="N189" s="23"/>
      <c r="O189" s="23"/>
    </row>
    <row r="190">
      <c r="B190" s="23"/>
      <c r="C190" s="23"/>
      <c r="E190" s="24"/>
      <c r="G190" s="23"/>
      <c r="H190" s="23"/>
      <c r="I190" s="23"/>
      <c r="J190" s="23"/>
      <c r="K190" s="23"/>
      <c r="L190" s="23"/>
      <c r="M190" s="23"/>
      <c r="N190" s="23"/>
      <c r="O190" s="23"/>
    </row>
    <row r="191">
      <c r="B191" s="23"/>
      <c r="C191" s="23"/>
      <c r="E191" s="24"/>
      <c r="G191" s="23"/>
      <c r="H191" s="23"/>
      <c r="I191" s="23"/>
      <c r="J191" s="23"/>
      <c r="K191" s="23"/>
      <c r="L191" s="23"/>
      <c r="M191" s="23"/>
      <c r="N191" s="23"/>
      <c r="O191" s="23"/>
    </row>
    <row r="192">
      <c r="B192" s="23"/>
      <c r="C192" s="23"/>
      <c r="E192" s="24"/>
      <c r="G192" s="23"/>
      <c r="H192" s="23"/>
      <c r="I192" s="23"/>
      <c r="J192" s="23"/>
      <c r="K192" s="23"/>
      <c r="L192" s="23"/>
      <c r="M192" s="23"/>
      <c r="N192" s="23"/>
      <c r="O192" s="23"/>
    </row>
    <row r="193">
      <c r="B193" s="23"/>
      <c r="C193" s="23"/>
      <c r="E193" s="24"/>
      <c r="G193" s="23"/>
      <c r="H193" s="23"/>
      <c r="I193" s="23"/>
      <c r="J193" s="23"/>
      <c r="K193" s="23"/>
      <c r="L193" s="23"/>
      <c r="M193" s="23"/>
      <c r="N193" s="23"/>
      <c r="O193" s="23"/>
    </row>
    <row r="194">
      <c r="B194" s="23"/>
      <c r="C194" s="23"/>
      <c r="E194" s="24"/>
      <c r="G194" s="23"/>
      <c r="H194" s="23"/>
      <c r="I194" s="23"/>
      <c r="J194" s="23"/>
      <c r="K194" s="23"/>
      <c r="L194" s="23"/>
      <c r="M194" s="23"/>
      <c r="N194" s="23"/>
      <c r="O194" s="23"/>
    </row>
    <row r="195">
      <c r="B195" s="23"/>
      <c r="C195" s="23"/>
      <c r="E195" s="24"/>
      <c r="G195" s="23"/>
      <c r="H195" s="23"/>
      <c r="I195" s="23"/>
      <c r="J195" s="23"/>
      <c r="K195" s="23"/>
      <c r="L195" s="23"/>
      <c r="M195" s="23"/>
      <c r="N195" s="23"/>
      <c r="O195" s="23"/>
    </row>
    <row r="196">
      <c r="B196" s="23"/>
      <c r="C196" s="23"/>
      <c r="E196" s="24"/>
      <c r="G196" s="23"/>
      <c r="H196" s="23"/>
      <c r="I196" s="23"/>
      <c r="J196" s="23"/>
      <c r="K196" s="23"/>
      <c r="L196" s="23"/>
      <c r="M196" s="23"/>
      <c r="N196" s="23"/>
      <c r="O196" s="23"/>
    </row>
    <row r="197">
      <c r="B197" s="23"/>
      <c r="C197" s="23"/>
      <c r="E197" s="24"/>
      <c r="G197" s="23"/>
      <c r="H197" s="23"/>
      <c r="I197" s="23"/>
      <c r="J197" s="23"/>
      <c r="K197" s="23"/>
      <c r="L197" s="23"/>
      <c r="M197" s="23"/>
      <c r="N197" s="23"/>
      <c r="O197" s="23"/>
    </row>
    <row r="198">
      <c r="B198" s="23"/>
      <c r="C198" s="23"/>
      <c r="E198" s="24"/>
      <c r="G198" s="23"/>
      <c r="H198" s="23"/>
      <c r="I198" s="23"/>
      <c r="J198" s="23"/>
      <c r="K198" s="23"/>
      <c r="L198" s="23"/>
      <c r="M198" s="23"/>
      <c r="N198" s="23"/>
      <c r="O198" s="23"/>
    </row>
    <row r="199">
      <c r="B199" s="23"/>
      <c r="C199" s="23"/>
      <c r="E199" s="24"/>
      <c r="G199" s="23"/>
      <c r="H199" s="23"/>
      <c r="I199" s="23"/>
      <c r="J199" s="23"/>
      <c r="K199" s="23"/>
      <c r="L199" s="23"/>
      <c r="M199" s="23"/>
      <c r="N199" s="23"/>
      <c r="O199" s="23"/>
    </row>
    <row r="200">
      <c r="B200" s="23"/>
      <c r="C200" s="23"/>
      <c r="E200" s="24"/>
      <c r="G200" s="23"/>
      <c r="H200" s="23"/>
      <c r="I200" s="23"/>
      <c r="J200" s="23"/>
      <c r="K200" s="23"/>
      <c r="L200" s="23"/>
      <c r="M200" s="23"/>
      <c r="N200" s="23"/>
      <c r="O200" s="23"/>
    </row>
    <row r="201">
      <c r="B201" s="23"/>
      <c r="C201" s="23"/>
      <c r="E201" s="24"/>
      <c r="G201" s="23"/>
      <c r="H201" s="23"/>
      <c r="I201" s="23"/>
      <c r="J201" s="23"/>
      <c r="K201" s="23"/>
      <c r="L201" s="23"/>
      <c r="M201" s="23"/>
      <c r="N201" s="23"/>
      <c r="O201" s="23"/>
    </row>
    <row r="202">
      <c r="B202" s="23"/>
      <c r="C202" s="23"/>
      <c r="E202" s="24"/>
      <c r="G202" s="23"/>
      <c r="H202" s="23"/>
      <c r="I202" s="23"/>
      <c r="J202" s="23"/>
      <c r="K202" s="23"/>
      <c r="L202" s="23"/>
      <c r="M202" s="23"/>
      <c r="N202" s="23"/>
      <c r="O202" s="23"/>
    </row>
    <row r="203">
      <c r="B203" s="23"/>
      <c r="C203" s="23"/>
      <c r="E203" s="24"/>
      <c r="G203" s="23"/>
      <c r="H203" s="23"/>
      <c r="I203" s="23"/>
      <c r="J203" s="23"/>
      <c r="K203" s="23"/>
      <c r="L203" s="23"/>
      <c r="M203" s="23"/>
      <c r="N203" s="23"/>
      <c r="O203" s="23"/>
    </row>
    <row r="204">
      <c r="B204" s="23"/>
      <c r="C204" s="23"/>
      <c r="E204" s="24"/>
      <c r="G204" s="23"/>
      <c r="H204" s="23"/>
      <c r="I204" s="23"/>
      <c r="J204" s="23"/>
      <c r="K204" s="23"/>
      <c r="L204" s="23"/>
      <c r="M204" s="23"/>
      <c r="N204" s="23"/>
      <c r="O204" s="23"/>
    </row>
    <row r="205">
      <c r="B205" s="23"/>
      <c r="C205" s="23"/>
      <c r="E205" s="24"/>
      <c r="G205" s="23"/>
      <c r="H205" s="23"/>
      <c r="I205" s="23"/>
      <c r="J205" s="23"/>
      <c r="K205" s="23"/>
      <c r="L205" s="23"/>
      <c r="M205" s="23"/>
      <c r="N205" s="23"/>
      <c r="O205" s="23"/>
    </row>
    <row r="206">
      <c r="B206" s="23"/>
      <c r="C206" s="23"/>
      <c r="E206" s="24"/>
      <c r="G206" s="23"/>
      <c r="H206" s="23"/>
      <c r="I206" s="23"/>
      <c r="J206" s="23"/>
      <c r="K206" s="23"/>
      <c r="L206" s="23"/>
      <c r="M206" s="23"/>
      <c r="N206" s="23"/>
      <c r="O206" s="23"/>
    </row>
    <row r="207">
      <c r="B207" s="23"/>
      <c r="C207" s="23"/>
      <c r="E207" s="24"/>
      <c r="G207" s="23"/>
      <c r="H207" s="23"/>
      <c r="I207" s="23"/>
      <c r="J207" s="23"/>
      <c r="K207" s="23"/>
      <c r="L207" s="23"/>
      <c r="M207" s="23"/>
      <c r="N207" s="23"/>
      <c r="O207" s="23"/>
    </row>
    <row r="208">
      <c r="B208" s="23"/>
      <c r="C208" s="23"/>
      <c r="E208" s="24"/>
      <c r="G208" s="23"/>
      <c r="H208" s="23"/>
      <c r="I208" s="23"/>
      <c r="J208" s="23"/>
      <c r="K208" s="23"/>
      <c r="L208" s="23"/>
      <c r="M208" s="23"/>
      <c r="N208" s="23"/>
      <c r="O208" s="23"/>
    </row>
    <row r="209">
      <c r="B209" s="23"/>
      <c r="C209" s="23"/>
      <c r="E209" s="24"/>
      <c r="G209" s="23"/>
      <c r="H209" s="23"/>
      <c r="I209" s="23"/>
      <c r="J209" s="23"/>
      <c r="K209" s="23"/>
      <c r="L209" s="23"/>
      <c r="M209" s="23"/>
      <c r="N209" s="23"/>
      <c r="O209" s="23"/>
    </row>
    <row r="210">
      <c r="B210" s="23"/>
      <c r="C210" s="23"/>
      <c r="E210" s="24"/>
      <c r="G210" s="23"/>
      <c r="H210" s="23"/>
      <c r="I210" s="23"/>
      <c r="J210" s="23"/>
      <c r="K210" s="23"/>
      <c r="L210" s="23"/>
      <c r="M210" s="23"/>
      <c r="N210" s="23"/>
      <c r="O210" s="23"/>
    </row>
    <row r="211">
      <c r="B211" s="23"/>
      <c r="C211" s="23"/>
      <c r="E211" s="24"/>
      <c r="G211" s="23"/>
      <c r="H211" s="23"/>
      <c r="I211" s="23"/>
      <c r="J211" s="23"/>
      <c r="K211" s="23"/>
      <c r="L211" s="23"/>
      <c r="M211" s="23"/>
      <c r="N211" s="23"/>
      <c r="O211" s="23"/>
    </row>
    <row r="212">
      <c r="B212" s="23"/>
      <c r="C212" s="23"/>
      <c r="E212" s="24"/>
      <c r="G212" s="23"/>
      <c r="H212" s="23"/>
      <c r="I212" s="23"/>
      <c r="J212" s="23"/>
      <c r="K212" s="23"/>
      <c r="L212" s="23"/>
      <c r="M212" s="23"/>
      <c r="N212" s="23"/>
      <c r="O212" s="23"/>
    </row>
    <row r="213">
      <c r="B213" s="23"/>
      <c r="C213" s="23"/>
      <c r="E213" s="24"/>
      <c r="G213" s="23"/>
      <c r="H213" s="23"/>
      <c r="I213" s="23"/>
      <c r="J213" s="23"/>
      <c r="K213" s="23"/>
      <c r="L213" s="23"/>
      <c r="M213" s="23"/>
      <c r="N213" s="23"/>
      <c r="O213" s="23"/>
    </row>
    <row r="214">
      <c r="B214" s="23"/>
      <c r="C214" s="23"/>
      <c r="E214" s="24"/>
      <c r="G214" s="23"/>
      <c r="H214" s="23"/>
      <c r="I214" s="23"/>
      <c r="J214" s="23"/>
      <c r="K214" s="23"/>
      <c r="L214" s="23"/>
      <c r="M214" s="23"/>
      <c r="N214" s="23"/>
      <c r="O214" s="23"/>
    </row>
    <row r="215">
      <c r="B215" s="23"/>
      <c r="C215" s="23"/>
      <c r="E215" s="24"/>
      <c r="G215" s="23"/>
      <c r="H215" s="23"/>
      <c r="I215" s="23"/>
      <c r="J215" s="23"/>
      <c r="K215" s="23"/>
      <c r="L215" s="23"/>
      <c r="M215" s="23"/>
      <c r="N215" s="23"/>
      <c r="O215" s="23"/>
    </row>
    <row r="216">
      <c r="B216" s="23"/>
      <c r="C216" s="23"/>
      <c r="E216" s="24"/>
      <c r="G216" s="23"/>
      <c r="H216" s="23"/>
      <c r="I216" s="23"/>
      <c r="J216" s="23"/>
      <c r="K216" s="23"/>
      <c r="L216" s="23"/>
      <c r="M216" s="23"/>
      <c r="N216" s="23"/>
      <c r="O216" s="23"/>
    </row>
    <row r="217">
      <c r="B217" s="23"/>
      <c r="C217" s="23"/>
      <c r="E217" s="24"/>
      <c r="G217" s="23"/>
      <c r="H217" s="23"/>
      <c r="I217" s="23"/>
      <c r="J217" s="23"/>
      <c r="K217" s="23"/>
      <c r="L217" s="23"/>
      <c r="M217" s="23"/>
      <c r="N217" s="23"/>
      <c r="O217" s="23"/>
    </row>
    <row r="218">
      <c r="B218" s="23"/>
      <c r="C218" s="23"/>
      <c r="E218" s="24"/>
      <c r="G218" s="23"/>
      <c r="H218" s="23"/>
      <c r="I218" s="23"/>
      <c r="J218" s="23"/>
      <c r="K218" s="23"/>
      <c r="L218" s="23"/>
      <c r="M218" s="23"/>
      <c r="N218" s="23"/>
      <c r="O218" s="23"/>
    </row>
    <row r="219">
      <c r="B219" s="23"/>
      <c r="C219" s="23"/>
      <c r="E219" s="24"/>
      <c r="G219" s="23"/>
      <c r="H219" s="23"/>
      <c r="I219" s="23"/>
      <c r="J219" s="23"/>
      <c r="K219" s="23"/>
      <c r="L219" s="23"/>
      <c r="M219" s="23"/>
      <c r="N219" s="23"/>
      <c r="O219" s="23"/>
    </row>
    <row r="220">
      <c r="B220" s="23"/>
      <c r="C220" s="23"/>
      <c r="E220" s="24"/>
      <c r="G220" s="23"/>
      <c r="H220" s="23"/>
      <c r="I220" s="23"/>
      <c r="J220" s="23"/>
      <c r="K220" s="23"/>
      <c r="L220" s="23"/>
      <c r="M220" s="23"/>
      <c r="N220" s="23"/>
      <c r="O220" s="23"/>
    </row>
    <row r="221">
      <c r="B221" s="23"/>
      <c r="C221" s="23"/>
      <c r="E221" s="24"/>
      <c r="G221" s="23"/>
      <c r="H221" s="23"/>
      <c r="I221" s="23"/>
      <c r="J221" s="23"/>
      <c r="K221" s="23"/>
      <c r="L221" s="23"/>
      <c r="M221" s="23"/>
      <c r="N221" s="23"/>
      <c r="O221" s="23"/>
    </row>
    <row r="222">
      <c r="B222" s="23"/>
      <c r="C222" s="23"/>
      <c r="E222" s="24"/>
      <c r="G222" s="23"/>
      <c r="H222" s="23"/>
      <c r="I222" s="23"/>
      <c r="J222" s="23"/>
      <c r="K222" s="23"/>
      <c r="L222" s="23"/>
      <c r="M222" s="23"/>
      <c r="N222" s="23"/>
      <c r="O222" s="23"/>
    </row>
    <row r="223">
      <c r="B223" s="23"/>
      <c r="C223" s="23"/>
      <c r="E223" s="24"/>
      <c r="G223" s="23"/>
      <c r="H223" s="23"/>
      <c r="I223" s="23"/>
      <c r="J223" s="23"/>
      <c r="K223" s="23"/>
      <c r="L223" s="23"/>
      <c r="M223" s="23"/>
      <c r="N223" s="23"/>
      <c r="O223" s="23"/>
    </row>
    <row r="224">
      <c r="B224" s="23"/>
      <c r="C224" s="23"/>
      <c r="E224" s="24"/>
      <c r="G224" s="23"/>
      <c r="H224" s="23"/>
      <c r="I224" s="23"/>
      <c r="J224" s="23"/>
      <c r="K224" s="23"/>
      <c r="L224" s="23"/>
      <c r="M224" s="23"/>
      <c r="N224" s="23"/>
      <c r="O224" s="23"/>
    </row>
    <row r="225">
      <c r="B225" s="23"/>
      <c r="C225" s="23"/>
      <c r="E225" s="24"/>
      <c r="G225" s="23"/>
      <c r="H225" s="23"/>
      <c r="I225" s="23"/>
      <c r="J225" s="23"/>
      <c r="K225" s="23"/>
      <c r="L225" s="23"/>
      <c r="M225" s="23"/>
      <c r="N225" s="23"/>
      <c r="O225" s="23"/>
    </row>
    <row r="226">
      <c r="B226" s="23"/>
      <c r="C226" s="23"/>
      <c r="E226" s="24"/>
      <c r="G226" s="23"/>
      <c r="H226" s="23"/>
      <c r="I226" s="23"/>
      <c r="J226" s="23"/>
      <c r="K226" s="23"/>
      <c r="L226" s="23"/>
      <c r="M226" s="23"/>
      <c r="N226" s="23"/>
      <c r="O226" s="23"/>
    </row>
    <row r="227">
      <c r="B227" s="23"/>
      <c r="C227" s="23"/>
      <c r="E227" s="24"/>
      <c r="G227" s="23"/>
      <c r="H227" s="23"/>
      <c r="I227" s="23"/>
      <c r="J227" s="23"/>
      <c r="K227" s="23"/>
      <c r="L227" s="23"/>
      <c r="M227" s="23"/>
      <c r="N227" s="23"/>
      <c r="O227" s="23"/>
    </row>
    <row r="228">
      <c r="B228" s="23"/>
      <c r="C228" s="23"/>
      <c r="E228" s="24"/>
      <c r="G228" s="23"/>
      <c r="H228" s="23"/>
      <c r="I228" s="23"/>
      <c r="J228" s="23"/>
      <c r="K228" s="23"/>
      <c r="L228" s="23"/>
      <c r="M228" s="23"/>
      <c r="N228" s="23"/>
      <c r="O228" s="23"/>
    </row>
    <row r="229">
      <c r="B229" s="23"/>
      <c r="C229" s="23"/>
      <c r="E229" s="24"/>
      <c r="G229" s="23"/>
      <c r="H229" s="23"/>
      <c r="I229" s="23"/>
      <c r="J229" s="23"/>
      <c r="K229" s="23"/>
      <c r="L229" s="23"/>
      <c r="M229" s="23"/>
      <c r="N229" s="23"/>
      <c r="O229" s="23"/>
    </row>
    <row r="230">
      <c r="B230" s="23"/>
      <c r="C230" s="23"/>
      <c r="E230" s="24"/>
      <c r="G230" s="23"/>
      <c r="H230" s="23"/>
      <c r="I230" s="23"/>
      <c r="J230" s="23"/>
      <c r="K230" s="23"/>
      <c r="L230" s="23"/>
      <c r="M230" s="23"/>
      <c r="N230" s="23"/>
      <c r="O230" s="23"/>
    </row>
    <row r="231">
      <c r="B231" s="23"/>
      <c r="C231" s="23"/>
      <c r="E231" s="24"/>
      <c r="G231" s="23"/>
      <c r="H231" s="23"/>
      <c r="I231" s="23"/>
      <c r="J231" s="23"/>
      <c r="K231" s="23"/>
      <c r="L231" s="23"/>
      <c r="M231" s="23"/>
      <c r="N231" s="23"/>
      <c r="O231" s="23"/>
    </row>
    <row r="232">
      <c r="B232" s="23"/>
      <c r="C232" s="23"/>
      <c r="E232" s="24"/>
      <c r="G232" s="23"/>
      <c r="H232" s="23"/>
      <c r="I232" s="23"/>
      <c r="J232" s="23"/>
      <c r="K232" s="23"/>
      <c r="L232" s="23"/>
      <c r="M232" s="23"/>
      <c r="N232" s="23"/>
      <c r="O232" s="23"/>
    </row>
    <row r="233">
      <c r="B233" s="23"/>
      <c r="C233" s="23"/>
      <c r="E233" s="24"/>
      <c r="G233" s="23"/>
      <c r="H233" s="23"/>
      <c r="I233" s="23"/>
      <c r="J233" s="23"/>
      <c r="K233" s="23"/>
      <c r="L233" s="23"/>
      <c r="M233" s="23"/>
      <c r="N233" s="23"/>
      <c r="O233" s="23"/>
    </row>
    <row r="234">
      <c r="B234" s="23"/>
      <c r="C234" s="23"/>
      <c r="E234" s="24"/>
      <c r="G234" s="23"/>
      <c r="H234" s="23"/>
      <c r="I234" s="23"/>
      <c r="J234" s="23"/>
      <c r="K234" s="23"/>
      <c r="L234" s="23"/>
      <c r="M234" s="23"/>
      <c r="N234" s="23"/>
      <c r="O234" s="23"/>
    </row>
    <row r="235">
      <c r="B235" s="23"/>
      <c r="C235" s="23"/>
      <c r="E235" s="24"/>
      <c r="G235" s="23"/>
      <c r="H235" s="23"/>
      <c r="I235" s="23"/>
      <c r="J235" s="23"/>
      <c r="K235" s="23"/>
      <c r="L235" s="23"/>
      <c r="M235" s="23"/>
      <c r="N235" s="23"/>
      <c r="O235" s="23"/>
    </row>
    <row r="236">
      <c r="B236" s="23"/>
      <c r="C236" s="23"/>
      <c r="E236" s="24"/>
      <c r="G236" s="23"/>
      <c r="H236" s="23"/>
      <c r="I236" s="23"/>
      <c r="J236" s="23"/>
      <c r="K236" s="23"/>
      <c r="L236" s="23"/>
      <c r="M236" s="23"/>
      <c r="N236" s="23"/>
      <c r="O236" s="23"/>
    </row>
    <row r="237">
      <c r="B237" s="23"/>
      <c r="C237" s="23"/>
      <c r="E237" s="24"/>
      <c r="G237" s="23"/>
      <c r="H237" s="23"/>
      <c r="I237" s="23"/>
      <c r="J237" s="23"/>
      <c r="K237" s="23"/>
      <c r="L237" s="23"/>
      <c r="M237" s="23"/>
      <c r="N237" s="23"/>
      <c r="O237" s="23"/>
    </row>
    <row r="238">
      <c r="B238" s="23"/>
      <c r="C238" s="23"/>
      <c r="E238" s="24"/>
      <c r="G238" s="23"/>
      <c r="H238" s="23"/>
      <c r="I238" s="23"/>
      <c r="J238" s="23"/>
      <c r="K238" s="23"/>
      <c r="L238" s="23"/>
      <c r="M238" s="23"/>
      <c r="N238" s="23"/>
      <c r="O238" s="23"/>
    </row>
    <row r="239">
      <c r="B239" s="23"/>
      <c r="C239" s="23"/>
      <c r="E239" s="24"/>
      <c r="G239" s="23"/>
      <c r="H239" s="23"/>
      <c r="I239" s="23"/>
      <c r="J239" s="23"/>
      <c r="K239" s="23"/>
      <c r="L239" s="23"/>
      <c r="M239" s="23"/>
      <c r="N239" s="23"/>
      <c r="O239" s="23"/>
    </row>
    <row r="240">
      <c r="B240" s="23"/>
      <c r="C240" s="23"/>
      <c r="E240" s="24"/>
      <c r="G240" s="23"/>
      <c r="H240" s="23"/>
      <c r="I240" s="23"/>
      <c r="J240" s="23"/>
      <c r="K240" s="23"/>
      <c r="L240" s="23"/>
      <c r="M240" s="23"/>
      <c r="N240" s="23"/>
      <c r="O240" s="23"/>
    </row>
    <row r="241">
      <c r="B241" s="23"/>
      <c r="C241" s="23"/>
      <c r="E241" s="24"/>
      <c r="G241" s="23"/>
      <c r="H241" s="23"/>
      <c r="I241" s="23"/>
      <c r="J241" s="23"/>
      <c r="K241" s="23"/>
      <c r="L241" s="23"/>
      <c r="M241" s="23"/>
      <c r="N241" s="23"/>
      <c r="O241" s="23"/>
    </row>
    <row r="242">
      <c r="B242" s="23"/>
      <c r="C242" s="23"/>
      <c r="E242" s="24"/>
      <c r="G242" s="23"/>
      <c r="H242" s="23"/>
      <c r="I242" s="23"/>
      <c r="J242" s="23"/>
      <c r="K242" s="23"/>
      <c r="L242" s="23"/>
      <c r="M242" s="23"/>
      <c r="N242" s="23"/>
      <c r="O242" s="23"/>
    </row>
    <row r="243">
      <c r="B243" s="23"/>
      <c r="C243" s="23"/>
      <c r="E243" s="24"/>
      <c r="G243" s="23"/>
      <c r="H243" s="23"/>
      <c r="I243" s="23"/>
      <c r="J243" s="23"/>
      <c r="K243" s="23"/>
      <c r="L243" s="23"/>
      <c r="M243" s="23"/>
      <c r="N243" s="23"/>
      <c r="O243" s="23"/>
    </row>
    <row r="244">
      <c r="B244" s="23"/>
      <c r="C244" s="23"/>
      <c r="E244" s="24"/>
      <c r="G244" s="23"/>
      <c r="H244" s="23"/>
      <c r="I244" s="23"/>
      <c r="J244" s="23"/>
      <c r="K244" s="23"/>
      <c r="L244" s="23"/>
      <c r="M244" s="23"/>
      <c r="N244" s="23"/>
      <c r="O244" s="23"/>
    </row>
    <row r="245">
      <c r="B245" s="23"/>
      <c r="C245" s="23"/>
      <c r="E245" s="24"/>
      <c r="G245" s="23"/>
      <c r="H245" s="23"/>
      <c r="I245" s="23"/>
      <c r="J245" s="23"/>
      <c r="K245" s="23"/>
      <c r="L245" s="23"/>
      <c r="M245" s="23"/>
      <c r="N245" s="23"/>
      <c r="O245" s="23"/>
    </row>
    <row r="246">
      <c r="B246" s="23"/>
      <c r="C246" s="23"/>
      <c r="E246" s="24"/>
      <c r="G246" s="23"/>
      <c r="H246" s="23"/>
      <c r="I246" s="23"/>
      <c r="J246" s="23"/>
      <c r="K246" s="23"/>
      <c r="L246" s="23"/>
      <c r="M246" s="23"/>
      <c r="N246" s="23"/>
      <c r="O246" s="23"/>
    </row>
    <row r="247">
      <c r="B247" s="23"/>
      <c r="C247" s="23"/>
      <c r="E247" s="24"/>
      <c r="G247" s="23"/>
      <c r="H247" s="23"/>
      <c r="I247" s="23"/>
      <c r="J247" s="23"/>
      <c r="K247" s="23"/>
      <c r="L247" s="23"/>
      <c r="M247" s="23"/>
      <c r="N247" s="23"/>
      <c r="O247" s="23"/>
    </row>
    <row r="248">
      <c r="B248" s="23"/>
      <c r="C248" s="23"/>
      <c r="E248" s="24"/>
      <c r="G248" s="23"/>
      <c r="H248" s="23"/>
      <c r="I248" s="23"/>
      <c r="J248" s="23"/>
      <c r="K248" s="23"/>
      <c r="L248" s="23"/>
      <c r="M248" s="23"/>
      <c r="N248" s="23"/>
      <c r="O248" s="23"/>
    </row>
    <row r="249">
      <c r="B249" s="23"/>
      <c r="C249" s="23"/>
      <c r="E249" s="24"/>
      <c r="G249" s="23"/>
      <c r="H249" s="23"/>
      <c r="I249" s="23"/>
      <c r="J249" s="23"/>
      <c r="K249" s="23"/>
      <c r="L249" s="23"/>
      <c r="M249" s="23"/>
      <c r="N249" s="23"/>
      <c r="O249" s="23"/>
    </row>
    <row r="250">
      <c r="B250" s="23"/>
      <c r="C250" s="23"/>
      <c r="E250" s="24"/>
      <c r="G250" s="23"/>
      <c r="H250" s="23"/>
      <c r="I250" s="23"/>
      <c r="J250" s="23"/>
      <c r="K250" s="23"/>
      <c r="L250" s="23"/>
      <c r="M250" s="23"/>
      <c r="N250" s="23"/>
      <c r="O250" s="23"/>
    </row>
    <row r="251">
      <c r="B251" s="23"/>
      <c r="C251" s="23"/>
      <c r="E251" s="24"/>
      <c r="G251" s="23"/>
      <c r="H251" s="23"/>
      <c r="I251" s="23"/>
      <c r="J251" s="23"/>
      <c r="K251" s="23"/>
      <c r="L251" s="23"/>
      <c r="M251" s="23"/>
      <c r="N251" s="23"/>
      <c r="O251" s="23"/>
    </row>
    <row r="252">
      <c r="B252" s="23"/>
      <c r="C252" s="23"/>
      <c r="E252" s="24"/>
      <c r="G252" s="23"/>
      <c r="H252" s="23"/>
      <c r="I252" s="23"/>
      <c r="J252" s="23"/>
      <c r="K252" s="23"/>
      <c r="L252" s="23"/>
      <c r="M252" s="23"/>
      <c r="N252" s="23"/>
      <c r="O252" s="23"/>
    </row>
    <row r="253">
      <c r="B253" s="23"/>
      <c r="C253" s="23"/>
      <c r="E253" s="24"/>
      <c r="G253" s="23"/>
      <c r="H253" s="23"/>
      <c r="I253" s="23"/>
      <c r="J253" s="23"/>
      <c r="K253" s="23"/>
      <c r="L253" s="23"/>
      <c r="M253" s="23"/>
      <c r="N253" s="23"/>
      <c r="O253" s="23"/>
    </row>
    <row r="254">
      <c r="B254" s="23"/>
      <c r="C254" s="23"/>
      <c r="E254" s="24"/>
      <c r="G254" s="23"/>
      <c r="H254" s="23"/>
      <c r="I254" s="23"/>
      <c r="J254" s="23"/>
      <c r="K254" s="23"/>
      <c r="L254" s="23"/>
      <c r="M254" s="23"/>
      <c r="N254" s="23"/>
      <c r="O254" s="23"/>
    </row>
    <row r="255">
      <c r="B255" s="23"/>
      <c r="C255" s="23"/>
      <c r="E255" s="24"/>
      <c r="G255" s="23"/>
      <c r="H255" s="23"/>
      <c r="I255" s="23"/>
      <c r="J255" s="23"/>
      <c r="K255" s="23"/>
      <c r="L255" s="23"/>
      <c r="M255" s="23"/>
      <c r="N255" s="23"/>
      <c r="O255" s="23"/>
    </row>
    <row r="256">
      <c r="B256" s="23"/>
      <c r="C256" s="23"/>
      <c r="E256" s="24"/>
      <c r="G256" s="23"/>
      <c r="H256" s="23"/>
      <c r="I256" s="23"/>
      <c r="J256" s="23"/>
      <c r="K256" s="23"/>
      <c r="L256" s="23"/>
      <c r="M256" s="23"/>
      <c r="N256" s="23"/>
      <c r="O256" s="23"/>
    </row>
    <row r="257">
      <c r="B257" s="23"/>
      <c r="C257" s="23"/>
      <c r="E257" s="24"/>
      <c r="G257" s="23"/>
      <c r="H257" s="23"/>
      <c r="I257" s="23"/>
      <c r="J257" s="23"/>
      <c r="K257" s="23"/>
      <c r="L257" s="23"/>
      <c r="M257" s="23"/>
      <c r="N257" s="23"/>
      <c r="O257" s="23"/>
    </row>
    <row r="258">
      <c r="B258" s="23"/>
      <c r="C258" s="23"/>
      <c r="E258" s="24"/>
      <c r="G258" s="23"/>
      <c r="H258" s="23"/>
      <c r="I258" s="23"/>
      <c r="J258" s="23"/>
      <c r="K258" s="23"/>
      <c r="L258" s="23"/>
      <c r="M258" s="23"/>
      <c r="N258" s="23"/>
      <c r="O258" s="23"/>
    </row>
    <row r="259">
      <c r="B259" s="23"/>
      <c r="C259" s="23"/>
      <c r="E259" s="24"/>
      <c r="G259" s="23"/>
      <c r="H259" s="23"/>
      <c r="I259" s="23"/>
      <c r="J259" s="23"/>
      <c r="K259" s="23"/>
      <c r="L259" s="23"/>
      <c r="M259" s="23"/>
      <c r="N259" s="23"/>
      <c r="O259" s="23"/>
    </row>
    <row r="260">
      <c r="B260" s="23"/>
      <c r="C260" s="23"/>
      <c r="E260" s="24"/>
      <c r="G260" s="23"/>
      <c r="H260" s="23"/>
      <c r="I260" s="23"/>
      <c r="J260" s="23"/>
      <c r="K260" s="23"/>
      <c r="L260" s="23"/>
      <c r="M260" s="23"/>
      <c r="N260" s="23"/>
      <c r="O260" s="23"/>
    </row>
    <row r="261">
      <c r="B261" s="23"/>
      <c r="C261" s="23"/>
      <c r="E261" s="24"/>
      <c r="G261" s="23"/>
      <c r="H261" s="23"/>
      <c r="I261" s="23"/>
      <c r="J261" s="23"/>
      <c r="K261" s="23"/>
      <c r="L261" s="23"/>
      <c r="M261" s="23"/>
      <c r="N261" s="23"/>
      <c r="O261" s="23"/>
    </row>
    <row r="262">
      <c r="B262" s="23"/>
      <c r="C262" s="23"/>
      <c r="E262" s="24"/>
      <c r="G262" s="23"/>
      <c r="H262" s="23"/>
      <c r="I262" s="23"/>
      <c r="J262" s="23"/>
      <c r="K262" s="23"/>
      <c r="L262" s="23"/>
      <c r="M262" s="23"/>
      <c r="N262" s="23"/>
      <c r="O262" s="23"/>
    </row>
    <row r="263">
      <c r="B263" s="23"/>
      <c r="C263" s="23"/>
      <c r="E263" s="24"/>
      <c r="G263" s="23"/>
      <c r="H263" s="23"/>
      <c r="I263" s="23"/>
      <c r="J263" s="23"/>
      <c r="K263" s="23"/>
      <c r="L263" s="23"/>
      <c r="M263" s="23"/>
      <c r="N263" s="23"/>
      <c r="O263" s="23"/>
    </row>
    <row r="264">
      <c r="B264" s="23"/>
      <c r="C264" s="23"/>
      <c r="E264" s="24"/>
      <c r="G264" s="23"/>
      <c r="H264" s="23"/>
      <c r="I264" s="23"/>
      <c r="J264" s="23"/>
      <c r="K264" s="23"/>
      <c r="L264" s="23"/>
      <c r="M264" s="23"/>
      <c r="N264" s="23"/>
      <c r="O264" s="23"/>
    </row>
    <row r="265">
      <c r="B265" s="23"/>
      <c r="C265" s="23"/>
      <c r="E265" s="24"/>
      <c r="G265" s="23"/>
      <c r="H265" s="23"/>
      <c r="I265" s="23"/>
      <c r="J265" s="23"/>
      <c r="K265" s="23"/>
      <c r="L265" s="23"/>
      <c r="M265" s="23"/>
      <c r="N265" s="23"/>
      <c r="O265" s="23"/>
    </row>
    <row r="266">
      <c r="B266" s="23"/>
      <c r="C266" s="23"/>
      <c r="E266" s="24"/>
      <c r="G266" s="23"/>
      <c r="H266" s="23"/>
      <c r="I266" s="23"/>
      <c r="J266" s="23"/>
      <c r="K266" s="23"/>
      <c r="L266" s="23"/>
      <c r="M266" s="23"/>
      <c r="N266" s="23"/>
      <c r="O266" s="23"/>
    </row>
    <row r="267">
      <c r="B267" s="23"/>
      <c r="C267" s="23"/>
      <c r="E267" s="24"/>
      <c r="G267" s="23"/>
      <c r="H267" s="23"/>
      <c r="I267" s="23"/>
      <c r="J267" s="23"/>
      <c r="K267" s="23"/>
      <c r="L267" s="23"/>
      <c r="M267" s="23"/>
      <c r="N267" s="23"/>
      <c r="O267" s="23"/>
    </row>
    <row r="268">
      <c r="B268" s="23"/>
      <c r="C268" s="23"/>
      <c r="E268" s="24"/>
      <c r="G268" s="23"/>
      <c r="H268" s="23"/>
      <c r="I268" s="23"/>
      <c r="J268" s="23"/>
      <c r="K268" s="23"/>
      <c r="L268" s="23"/>
      <c r="M268" s="23"/>
      <c r="N268" s="23"/>
      <c r="O268" s="23"/>
    </row>
    <row r="269">
      <c r="B269" s="23"/>
      <c r="C269" s="23"/>
      <c r="E269" s="24"/>
      <c r="G269" s="23"/>
      <c r="H269" s="23"/>
      <c r="I269" s="23"/>
      <c r="J269" s="23"/>
      <c r="K269" s="23"/>
      <c r="L269" s="23"/>
      <c r="M269" s="23"/>
      <c r="N269" s="23"/>
      <c r="O269" s="23"/>
    </row>
    <row r="270">
      <c r="B270" s="23"/>
      <c r="C270" s="23"/>
      <c r="E270" s="24"/>
      <c r="G270" s="23"/>
      <c r="H270" s="23"/>
      <c r="I270" s="23"/>
      <c r="J270" s="23"/>
      <c r="K270" s="23"/>
      <c r="L270" s="23"/>
      <c r="M270" s="23"/>
      <c r="N270" s="23"/>
      <c r="O270" s="23"/>
    </row>
    <row r="271">
      <c r="B271" s="23"/>
      <c r="C271" s="23"/>
      <c r="E271" s="24"/>
      <c r="G271" s="23"/>
      <c r="H271" s="23"/>
      <c r="I271" s="23"/>
      <c r="J271" s="23"/>
      <c r="K271" s="23"/>
      <c r="L271" s="23"/>
      <c r="M271" s="23"/>
      <c r="N271" s="23"/>
      <c r="O271" s="23"/>
    </row>
    <row r="272">
      <c r="B272" s="23"/>
      <c r="C272" s="23"/>
      <c r="E272" s="24"/>
      <c r="G272" s="23"/>
      <c r="H272" s="23"/>
      <c r="I272" s="23"/>
      <c r="J272" s="23"/>
      <c r="K272" s="23"/>
      <c r="L272" s="23"/>
      <c r="M272" s="23"/>
      <c r="N272" s="23"/>
      <c r="O272" s="23"/>
    </row>
    <row r="273">
      <c r="B273" s="23"/>
      <c r="C273" s="23"/>
      <c r="E273" s="24"/>
      <c r="G273" s="23"/>
      <c r="H273" s="23"/>
      <c r="I273" s="23"/>
      <c r="J273" s="23"/>
      <c r="K273" s="23"/>
      <c r="L273" s="23"/>
      <c r="M273" s="23"/>
      <c r="N273" s="23"/>
      <c r="O273" s="23"/>
    </row>
    <row r="274">
      <c r="B274" s="23"/>
      <c r="C274" s="23"/>
      <c r="E274" s="24"/>
      <c r="G274" s="23"/>
      <c r="H274" s="23"/>
      <c r="I274" s="23"/>
      <c r="J274" s="23"/>
      <c r="K274" s="23"/>
      <c r="L274" s="23"/>
      <c r="M274" s="23"/>
      <c r="N274" s="23"/>
      <c r="O274" s="23"/>
    </row>
    <row r="275">
      <c r="B275" s="23"/>
      <c r="C275" s="23"/>
      <c r="E275" s="24"/>
      <c r="G275" s="23"/>
      <c r="H275" s="23"/>
      <c r="I275" s="23"/>
      <c r="J275" s="23"/>
      <c r="K275" s="23"/>
      <c r="L275" s="23"/>
      <c r="M275" s="23"/>
      <c r="N275" s="23"/>
      <c r="O275" s="23"/>
    </row>
    <row r="276">
      <c r="B276" s="23"/>
      <c r="C276" s="23"/>
      <c r="E276" s="24"/>
      <c r="G276" s="23"/>
      <c r="H276" s="23"/>
      <c r="I276" s="23"/>
      <c r="J276" s="23"/>
      <c r="K276" s="23"/>
      <c r="L276" s="23"/>
      <c r="M276" s="23"/>
      <c r="N276" s="23"/>
      <c r="O276" s="23"/>
    </row>
    <row r="277">
      <c r="B277" s="23"/>
      <c r="C277" s="23"/>
      <c r="E277" s="24"/>
      <c r="G277" s="23"/>
      <c r="H277" s="23"/>
      <c r="I277" s="23"/>
      <c r="J277" s="23"/>
      <c r="K277" s="23"/>
      <c r="L277" s="23"/>
      <c r="M277" s="23"/>
      <c r="N277" s="23"/>
      <c r="O277" s="23"/>
    </row>
    <row r="278">
      <c r="B278" s="23"/>
      <c r="C278" s="23"/>
      <c r="E278" s="24"/>
      <c r="G278" s="23"/>
      <c r="H278" s="23"/>
      <c r="I278" s="23"/>
      <c r="J278" s="23"/>
      <c r="K278" s="23"/>
      <c r="L278" s="23"/>
      <c r="M278" s="23"/>
      <c r="N278" s="23"/>
      <c r="O278" s="23"/>
    </row>
    <row r="279">
      <c r="B279" s="23"/>
      <c r="C279" s="23"/>
      <c r="E279" s="24"/>
      <c r="G279" s="23"/>
      <c r="H279" s="23"/>
      <c r="I279" s="23"/>
      <c r="J279" s="23"/>
      <c r="K279" s="23"/>
      <c r="L279" s="23"/>
      <c r="M279" s="23"/>
      <c r="N279" s="23"/>
      <c r="O279" s="23"/>
    </row>
    <row r="280">
      <c r="B280" s="23"/>
      <c r="C280" s="23"/>
      <c r="E280" s="24"/>
      <c r="G280" s="23"/>
      <c r="H280" s="23"/>
      <c r="I280" s="23"/>
      <c r="J280" s="23"/>
      <c r="K280" s="23"/>
      <c r="L280" s="23"/>
      <c r="M280" s="23"/>
      <c r="N280" s="23"/>
      <c r="O280" s="23"/>
    </row>
    <row r="281">
      <c r="B281" s="23"/>
      <c r="C281" s="23"/>
      <c r="E281" s="24"/>
      <c r="G281" s="23"/>
      <c r="H281" s="23"/>
      <c r="I281" s="23"/>
      <c r="J281" s="23"/>
      <c r="K281" s="23"/>
      <c r="L281" s="23"/>
      <c r="M281" s="23"/>
      <c r="N281" s="23"/>
      <c r="O281" s="23"/>
    </row>
    <row r="282">
      <c r="B282" s="23"/>
      <c r="C282" s="23"/>
      <c r="E282" s="24"/>
      <c r="G282" s="23"/>
      <c r="H282" s="23"/>
      <c r="I282" s="23"/>
      <c r="J282" s="23"/>
      <c r="K282" s="23"/>
      <c r="L282" s="23"/>
      <c r="M282" s="23"/>
      <c r="N282" s="23"/>
      <c r="O282" s="23"/>
    </row>
    <row r="283">
      <c r="B283" s="23"/>
      <c r="C283" s="23"/>
      <c r="E283" s="24"/>
      <c r="G283" s="23"/>
      <c r="H283" s="23"/>
      <c r="I283" s="23"/>
      <c r="J283" s="23"/>
      <c r="K283" s="23"/>
      <c r="L283" s="23"/>
      <c r="M283" s="23"/>
      <c r="N283" s="23"/>
      <c r="O283" s="23"/>
    </row>
    <row r="284">
      <c r="B284" s="23"/>
      <c r="C284" s="23"/>
      <c r="E284" s="24"/>
      <c r="G284" s="23"/>
      <c r="H284" s="23"/>
      <c r="I284" s="23"/>
      <c r="J284" s="23"/>
      <c r="K284" s="23"/>
      <c r="L284" s="23"/>
      <c r="M284" s="23"/>
      <c r="N284" s="23"/>
      <c r="O284" s="23"/>
    </row>
    <row r="285">
      <c r="B285" s="23"/>
      <c r="C285" s="23"/>
      <c r="E285" s="24"/>
      <c r="G285" s="23"/>
      <c r="H285" s="23"/>
      <c r="I285" s="23"/>
      <c r="J285" s="23"/>
      <c r="K285" s="23"/>
      <c r="L285" s="23"/>
      <c r="M285" s="23"/>
      <c r="N285" s="23"/>
      <c r="O285" s="23"/>
    </row>
    <row r="286">
      <c r="B286" s="23"/>
      <c r="C286" s="23"/>
      <c r="E286" s="24"/>
      <c r="G286" s="23"/>
      <c r="H286" s="23"/>
      <c r="I286" s="23"/>
      <c r="J286" s="23"/>
      <c r="K286" s="23"/>
      <c r="L286" s="23"/>
      <c r="M286" s="23"/>
      <c r="N286" s="23"/>
      <c r="O286" s="23"/>
    </row>
    <row r="287">
      <c r="B287" s="23"/>
      <c r="C287" s="23"/>
      <c r="E287" s="24"/>
      <c r="G287" s="23"/>
      <c r="H287" s="23"/>
      <c r="I287" s="23"/>
      <c r="J287" s="23"/>
      <c r="K287" s="23"/>
      <c r="L287" s="23"/>
      <c r="M287" s="23"/>
      <c r="N287" s="23"/>
      <c r="O287" s="23"/>
    </row>
    <row r="288">
      <c r="B288" s="23"/>
      <c r="C288" s="23"/>
      <c r="E288" s="24"/>
      <c r="G288" s="23"/>
      <c r="H288" s="23"/>
      <c r="I288" s="23"/>
      <c r="J288" s="23"/>
      <c r="K288" s="23"/>
      <c r="L288" s="23"/>
      <c r="M288" s="23"/>
      <c r="N288" s="23"/>
      <c r="O288" s="23"/>
    </row>
    <row r="289">
      <c r="B289" s="23"/>
      <c r="C289" s="23"/>
      <c r="E289" s="24"/>
      <c r="G289" s="23"/>
      <c r="H289" s="23"/>
      <c r="I289" s="23"/>
      <c r="J289" s="23"/>
      <c r="K289" s="23"/>
      <c r="L289" s="23"/>
      <c r="M289" s="23"/>
      <c r="N289" s="23"/>
      <c r="O289" s="23"/>
    </row>
    <row r="290">
      <c r="B290" s="23"/>
      <c r="C290" s="23"/>
      <c r="E290" s="24"/>
      <c r="G290" s="23"/>
      <c r="H290" s="23"/>
      <c r="I290" s="23"/>
      <c r="J290" s="23"/>
      <c r="K290" s="23"/>
      <c r="L290" s="23"/>
      <c r="M290" s="23"/>
      <c r="N290" s="23"/>
      <c r="O290" s="23"/>
    </row>
    <row r="291">
      <c r="B291" s="23"/>
      <c r="C291" s="23"/>
      <c r="E291" s="24"/>
      <c r="G291" s="23"/>
      <c r="H291" s="23"/>
      <c r="I291" s="23"/>
      <c r="J291" s="23"/>
      <c r="K291" s="23"/>
      <c r="L291" s="23"/>
      <c r="M291" s="23"/>
      <c r="N291" s="23"/>
      <c r="O291" s="23"/>
    </row>
    <row r="292">
      <c r="B292" s="23"/>
      <c r="C292" s="23"/>
      <c r="E292" s="24"/>
      <c r="G292" s="23"/>
      <c r="H292" s="23"/>
      <c r="I292" s="23"/>
      <c r="J292" s="23"/>
      <c r="K292" s="23"/>
      <c r="L292" s="23"/>
      <c r="M292" s="23"/>
      <c r="N292" s="23"/>
      <c r="O292" s="23"/>
    </row>
    <row r="293">
      <c r="B293" s="23"/>
      <c r="C293" s="23"/>
      <c r="E293" s="24"/>
      <c r="G293" s="23"/>
      <c r="H293" s="23"/>
      <c r="I293" s="23"/>
      <c r="J293" s="23"/>
      <c r="K293" s="23"/>
      <c r="L293" s="23"/>
      <c r="M293" s="23"/>
      <c r="N293" s="23"/>
      <c r="O293" s="23"/>
    </row>
    <row r="294">
      <c r="B294" s="23"/>
      <c r="C294" s="23"/>
      <c r="E294" s="24"/>
      <c r="G294" s="23"/>
      <c r="H294" s="23"/>
      <c r="I294" s="23"/>
      <c r="J294" s="23"/>
      <c r="K294" s="23"/>
      <c r="L294" s="23"/>
      <c r="M294" s="23"/>
      <c r="N294" s="23"/>
      <c r="O294" s="23"/>
    </row>
    <row r="295">
      <c r="B295" s="23"/>
      <c r="C295" s="23"/>
      <c r="E295" s="24"/>
      <c r="G295" s="23"/>
      <c r="H295" s="23"/>
      <c r="I295" s="23"/>
      <c r="J295" s="23"/>
      <c r="K295" s="23"/>
      <c r="L295" s="23"/>
      <c r="M295" s="23"/>
      <c r="N295" s="23"/>
      <c r="O295" s="23"/>
    </row>
    <row r="296">
      <c r="B296" s="23"/>
      <c r="C296" s="23"/>
      <c r="E296" s="24"/>
      <c r="G296" s="23"/>
      <c r="H296" s="23"/>
      <c r="I296" s="23"/>
      <c r="J296" s="23"/>
      <c r="K296" s="23"/>
      <c r="L296" s="23"/>
      <c r="M296" s="23"/>
      <c r="N296" s="23"/>
      <c r="O296" s="23"/>
    </row>
    <row r="297">
      <c r="B297" s="23"/>
      <c r="C297" s="23"/>
      <c r="E297" s="24"/>
      <c r="G297" s="23"/>
      <c r="H297" s="23"/>
      <c r="I297" s="23"/>
      <c r="J297" s="23"/>
      <c r="K297" s="23"/>
      <c r="L297" s="23"/>
      <c r="M297" s="23"/>
      <c r="N297" s="23"/>
      <c r="O297" s="23"/>
    </row>
    <row r="298">
      <c r="B298" s="23"/>
      <c r="C298" s="23"/>
      <c r="E298" s="24"/>
      <c r="G298" s="23"/>
      <c r="H298" s="23"/>
      <c r="I298" s="23"/>
      <c r="J298" s="23"/>
      <c r="K298" s="23"/>
      <c r="L298" s="23"/>
      <c r="M298" s="23"/>
      <c r="N298" s="23"/>
      <c r="O298" s="23"/>
    </row>
    <row r="299">
      <c r="B299" s="23"/>
      <c r="C299" s="23"/>
      <c r="E299" s="24"/>
      <c r="G299" s="23"/>
      <c r="H299" s="23"/>
      <c r="I299" s="23"/>
      <c r="J299" s="23"/>
      <c r="K299" s="23"/>
      <c r="L299" s="23"/>
      <c r="M299" s="23"/>
      <c r="N299" s="23"/>
      <c r="O299" s="23"/>
    </row>
    <row r="300">
      <c r="B300" s="23"/>
      <c r="C300" s="23"/>
      <c r="E300" s="24"/>
      <c r="G300" s="23"/>
      <c r="H300" s="23"/>
      <c r="I300" s="23"/>
      <c r="J300" s="23"/>
      <c r="K300" s="23"/>
      <c r="L300" s="23"/>
      <c r="M300" s="23"/>
      <c r="N300" s="23"/>
      <c r="O300" s="23"/>
    </row>
    <row r="301">
      <c r="B301" s="23"/>
      <c r="C301" s="23"/>
      <c r="E301" s="24"/>
      <c r="G301" s="23"/>
      <c r="H301" s="23"/>
      <c r="I301" s="23"/>
      <c r="J301" s="23"/>
      <c r="K301" s="23"/>
      <c r="L301" s="23"/>
      <c r="M301" s="23"/>
      <c r="N301" s="23"/>
      <c r="O301" s="23"/>
    </row>
    <row r="302">
      <c r="B302" s="23"/>
      <c r="C302" s="23"/>
      <c r="E302" s="24"/>
      <c r="G302" s="23"/>
      <c r="H302" s="23"/>
      <c r="I302" s="23"/>
      <c r="J302" s="23"/>
      <c r="K302" s="23"/>
      <c r="L302" s="23"/>
      <c r="M302" s="23"/>
      <c r="N302" s="23"/>
      <c r="O302" s="23"/>
    </row>
    <row r="303">
      <c r="B303" s="23"/>
      <c r="C303" s="23"/>
      <c r="E303" s="24"/>
      <c r="G303" s="23"/>
      <c r="H303" s="23"/>
      <c r="I303" s="23"/>
      <c r="J303" s="23"/>
      <c r="K303" s="23"/>
      <c r="L303" s="23"/>
      <c r="M303" s="23"/>
      <c r="N303" s="23"/>
      <c r="O303" s="23"/>
    </row>
    <row r="304">
      <c r="B304" s="23"/>
      <c r="C304" s="23"/>
      <c r="E304" s="24"/>
      <c r="G304" s="23"/>
      <c r="H304" s="23"/>
      <c r="I304" s="23"/>
      <c r="J304" s="23"/>
      <c r="K304" s="23"/>
      <c r="L304" s="23"/>
      <c r="M304" s="23"/>
      <c r="N304" s="23"/>
      <c r="O304" s="23"/>
    </row>
    <row r="305">
      <c r="B305" s="23"/>
      <c r="C305" s="23"/>
      <c r="E305" s="24"/>
      <c r="G305" s="23"/>
      <c r="H305" s="23"/>
      <c r="I305" s="23"/>
      <c r="J305" s="23"/>
      <c r="K305" s="23"/>
      <c r="L305" s="23"/>
      <c r="M305" s="23"/>
      <c r="N305" s="23"/>
      <c r="O305" s="23"/>
    </row>
    <row r="306">
      <c r="B306" s="23"/>
      <c r="C306" s="23"/>
      <c r="E306" s="24"/>
      <c r="G306" s="23"/>
      <c r="H306" s="23"/>
      <c r="I306" s="23"/>
      <c r="J306" s="23"/>
      <c r="K306" s="23"/>
      <c r="L306" s="23"/>
      <c r="M306" s="23"/>
      <c r="N306" s="23"/>
      <c r="O306" s="23"/>
    </row>
    <row r="307">
      <c r="B307" s="23"/>
      <c r="C307" s="23"/>
      <c r="E307" s="24"/>
      <c r="G307" s="23"/>
      <c r="H307" s="23"/>
      <c r="I307" s="23"/>
      <c r="J307" s="23"/>
      <c r="K307" s="23"/>
      <c r="L307" s="23"/>
      <c r="M307" s="23"/>
      <c r="N307" s="23"/>
      <c r="O307" s="23"/>
    </row>
    <row r="308">
      <c r="B308" s="23"/>
      <c r="C308" s="23"/>
      <c r="E308" s="24"/>
      <c r="G308" s="23"/>
      <c r="H308" s="23"/>
      <c r="I308" s="23"/>
      <c r="J308" s="23"/>
      <c r="K308" s="23"/>
      <c r="L308" s="23"/>
      <c r="M308" s="23"/>
      <c r="N308" s="23"/>
      <c r="O308" s="23"/>
    </row>
    <row r="309">
      <c r="B309" s="23"/>
      <c r="C309" s="23"/>
      <c r="E309" s="24"/>
      <c r="G309" s="23"/>
      <c r="H309" s="23"/>
      <c r="I309" s="23"/>
      <c r="J309" s="23"/>
      <c r="K309" s="23"/>
      <c r="L309" s="23"/>
      <c r="M309" s="23"/>
      <c r="N309" s="23"/>
      <c r="O309" s="23"/>
    </row>
    <row r="310">
      <c r="B310" s="23"/>
      <c r="C310" s="23"/>
      <c r="E310" s="24"/>
      <c r="G310" s="23"/>
      <c r="H310" s="23"/>
      <c r="I310" s="23"/>
      <c r="J310" s="23"/>
      <c r="K310" s="23"/>
      <c r="L310" s="23"/>
      <c r="M310" s="23"/>
      <c r="N310" s="23"/>
      <c r="O310" s="23"/>
    </row>
    <row r="311">
      <c r="B311" s="23"/>
      <c r="C311" s="23"/>
      <c r="E311" s="24"/>
      <c r="G311" s="23"/>
      <c r="H311" s="23"/>
      <c r="I311" s="23"/>
      <c r="J311" s="23"/>
      <c r="K311" s="23"/>
      <c r="L311" s="23"/>
      <c r="M311" s="23"/>
      <c r="N311" s="23"/>
      <c r="O311" s="23"/>
    </row>
    <row r="312">
      <c r="B312" s="23"/>
      <c r="C312" s="23"/>
      <c r="E312" s="24"/>
      <c r="G312" s="23"/>
      <c r="H312" s="23"/>
      <c r="I312" s="23"/>
      <c r="J312" s="23"/>
      <c r="K312" s="23"/>
      <c r="L312" s="23"/>
      <c r="M312" s="23"/>
      <c r="N312" s="23"/>
      <c r="O312" s="23"/>
    </row>
    <row r="313">
      <c r="B313" s="23"/>
      <c r="C313" s="23"/>
      <c r="E313" s="24"/>
      <c r="G313" s="23"/>
      <c r="H313" s="23"/>
      <c r="I313" s="23"/>
      <c r="J313" s="23"/>
      <c r="K313" s="23"/>
      <c r="L313" s="23"/>
      <c r="M313" s="23"/>
      <c r="N313" s="23"/>
      <c r="O313" s="23"/>
    </row>
    <row r="314">
      <c r="B314" s="23"/>
      <c r="C314" s="23"/>
      <c r="E314" s="24"/>
      <c r="G314" s="23"/>
      <c r="H314" s="23"/>
      <c r="I314" s="23"/>
      <c r="J314" s="23"/>
      <c r="K314" s="23"/>
      <c r="L314" s="23"/>
      <c r="M314" s="23"/>
      <c r="N314" s="23"/>
      <c r="O314" s="23"/>
    </row>
    <row r="315">
      <c r="B315" s="23"/>
      <c r="C315" s="23"/>
      <c r="E315" s="24"/>
      <c r="G315" s="23"/>
      <c r="H315" s="23"/>
      <c r="I315" s="23"/>
      <c r="J315" s="23"/>
      <c r="K315" s="23"/>
      <c r="L315" s="23"/>
      <c r="M315" s="23"/>
      <c r="N315" s="23"/>
      <c r="O315" s="23"/>
    </row>
    <row r="316">
      <c r="B316" s="23"/>
      <c r="C316" s="23"/>
      <c r="E316" s="24"/>
      <c r="G316" s="23"/>
      <c r="H316" s="23"/>
      <c r="I316" s="23"/>
      <c r="J316" s="23"/>
      <c r="K316" s="23"/>
      <c r="L316" s="23"/>
      <c r="M316" s="23"/>
      <c r="N316" s="23"/>
      <c r="O316" s="23"/>
    </row>
    <row r="317">
      <c r="B317" s="23"/>
      <c r="C317" s="23"/>
      <c r="E317" s="24"/>
      <c r="G317" s="23"/>
      <c r="H317" s="23"/>
      <c r="I317" s="23"/>
      <c r="J317" s="23"/>
      <c r="K317" s="23"/>
      <c r="L317" s="23"/>
      <c r="M317" s="23"/>
      <c r="N317" s="23"/>
      <c r="O317" s="23"/>
    </row>
    <row r="318">
      <c r="B318" s="23"/>
      <c r="C318" s="23"/>
      <c r="E318" s="24"/>
      <c r="G318" s="23"/>
      <c r="H318" s="23"/>
      <c r="I318" s="23"/>
      <c r="J318" s="23"/>
      <c r="K318" s="23"/>
      <c r="L318" s="23"/>
      <c r="M318" s="23"/>
      <c r="N318" s="23"/>
      <c r="O318" s="23"/>
    </row>
    <row r="319">
      <c r="B319" s="23"/>
      <c r="C319" s="23"/>
      <c r="E319" s="24"/>
      <c r="G319" s="23"/>
      <c r="H319" s="23"/>
      <c r="I319" s="23"/>
      <c r="J319" s="23"/>
      <c r="K319" s="23"/>
      <c r="L319" s="23"/>
      <c r="M319" s="23"/>
      <c r="N319" s="23"/>
      <c r="O319" s="23"/>
    </row>
    <row r="320">
      <c r="B320" s="23"/>
      <c r="C320" s="23"/>
      <c r="E320" s="24"/>
      <c r="G320" s="23"/>
      <c r="H320" s="23"/>
      <c r="I320" s="23"/>
      <c r="J320" s="23"/>
      <c r="K320" s="23"/>
      <c r="L320" s="23"/>
      <c r="M320" s="23"/>
      <c r="N320" s="23"/>
      <c r="O320" s="23"/>
    </row>
    <row r="321">
      <c r="B321" s="23"/>
      <c r="C321" s="23"/>
      <c r="E321" s="24"/>
      <c r="G321" s="23"/>
      <c r="H321" s="23"/>
      <c r="I321" s="23"/>
      <c r="J321" s="23"/>
      <c r="K321" s="23"/>
      <c r="L321" s="23"/>
      <c r="M321" s="23"/>
      <c r="N321" s="23"/>
      <c r="O321" s="23"/>
    </row>
    <row r="322">
      <c r="B322" s="23"/>
      <c r="C322" s="23"/>
      <c r="E322" s="24"/>
      <c r="G322" s="23"/>
      <c r="H322" s="23"/>
      <c r="I322" s="23"/>
      <c r="J322" s="23"/>
      <c r="K322" s="23"/>
      <c r="L322" s="23"/>
      <c r="M322" s="23"/>
      <c r="N322" s="23"/>
      <c r="O322" s="23"/>
    </row>
    <row r="323">
      <c r="B323" s="23"/>
      <c r="C323" s="23"/>
      <c r="E323" s="24"/>
      <c r="G323" s="23"/>
      <c r="H323" s="23"/>
      <c r="I323" s="23"/>
      <c r="J323" s="23"/>
      <c r="K323" s="23"/>
      <c r="L323" s="23"/>
      <c r="M323" s="23"/>
      <c r="N323" s="23"/>
      <c r="O323" s="23"/>
    </row>
    <row r="324">
      <c r="B324" s="23"/>
      <c r="C324" s="23"/>
      <c r="E324" s="24"/>
      <c r="G324" s="23"/>
      <c r="H324" s="23"/>
      <c r="I324" s="23"/>
      <c r="J324" s="23"/>
      <c r="K324" s="23"/>
      <c r="L324" s="23"/>
      <c r="M324" s="23"/>
      <c r="N324" s="23"/>
      <c r="O324" s="23"/>
    </row>
    <row r="325">
      <c r="B325" s="23"/>
      <c r="C325" s="23"/>
      <c r="E325" s="24"/>
      <c r="G325" s="23"/>
      <c r="H325" s="23"/>
      <c r="I325" s="23"/>
      <c r="J325" s="23"/>
      <c r="K325" s="23"/>
      <c r="L325" s="23"/>
      <c r="M325" s="23"/>
      <c r="N325" s="23"/>
      <c r="O325" s="23"/>
    </row>
    <row r="326">
      <c r="B326" s="23"/>
      <c r="C326" s="23"/>
      <c r="E326" s="24"/>
      <c r="G326" s="23"/>
      <c r="H326" s="23"/>
      <c r="I326" s="23"/>
      <c r="J326" s="23"/>
      <c r="K326" s="23"/>
      <c r="L326" s="23"/>
      <c r="M326" s="23"/>
      <c r="N326" s="23"/>
      <c r="O326" s="23"/>
    </row>
    <row r="327">
      <c r="B327" s="23"/>
      <c r="C327" s="23"/>
      <c r="E327" s="24"/>
      <c r="G327" s="23"/>
      <c r="H327" s="23"/>
      <c r="I327" s="23"/>
      <c r="J327" s="23"/>
      <c r="K327" s="23"/>
      <c r="L327" s="23"/>
      <c r="M327" s="23"/>
      <c r="N327" s="23"/>
      <c r="O327" s="23"/>
    </row>
    <row r="328">
      <c r="B328" s="23"/>
      <c r="C328" s="23"/>
      <c r="E328" s="24"/>
      <c r="G328" s="23"/>
      <c r="H328" s="23"/>
      <c r="I328" s="23"/>
      <c r="J328" s="23"/>
      <c r="K328" s="23"/>
      <c r="L328" s="23"/>
      <c r="M328" s="23"/>
      <c r="N328" s="23"/>
      <c r="O328" s="23"/>
    </row>
    <row r="329">
      <c r="B329" s="23"/>
      <c r="C329" s="23"/>
      <c r="E329" s="24"/>
      <c r="G329" s="23"/>
      <c r="H329" s="23"/>
      <c r="I329" s="23"/>
      <c r="J329" s="23"/>
      <c r="K329" s="23"/>
      <c r="L329" s="23"/>
      <c r="M329" s="23"/>
      <c r="N329" s="23"/>
      <c r="O329" s="23"/>
    </row>
    <row r="330">
      <c r="B330" s="23"/>
      <c r="C330" s="23"/>
      <c r="E330" s="24"/>
      <c r="G330" s="23"/>
      <c r="H330" s="23"/>
      <c r="I330" s="23"/>
      <c r="J330" s="23"/>
      <c r="K330" s="23"/>
      <c r="L330" s="23"/>
      <c r="M330" s="23"/>
      <c r="N330" s="23"/>
      <c r="O330" s="23"/>
    </row>
    <row r="331">
      <c r="B331" s="23"/>
      <c r="C331" s="23"/>
      <c r="E331" s="24"/>
      <c r="G331" s="23"/>
      <c r="H331" s="23"/>
      <c r="I331" s="23"/>
      <c r="J331" s="23"/>
      <c r="K331" s="23"/>
      <c r="L331" s="23"/>
      <c r="M331" s="23"/>
      <c r="N331" s="23"/>
      <c r="O331" s="23"/>
    </row>
    <row r="332">
      <c r="B332" s="23"/>
      <c r="C332" s="23"/>
      <c r="E332" s="24"/>
      <c r="G332" s="23"/>
      <c r="H332" s="23"/>
      <c r="I332" s="23"/>
      <c r="J332" s="23"/>
      <c r="K332" s="23"/>
      <c r="L332" s="23"/>
      <c r="M332" s="23"/>
      <c r="N332" s="23"/>
      <c r="O332" s="23"/>
    </row>
    <row r="333">
      <c r="B333" s="23"/>
      <c r="C333" s="23"/>
      <c r="E333" s="24"/>
      <c r="G333" s="23"/>
      <c r="H333" s="23"/>
      <c r="I333" s="23"/>
      <c r="J333" s="23"/>
      <c r="K333" s="23"/>
      <c r="L333" s="23"/>
      <c r="M333" s="23"/>
      <c r="N333" s="23"/>
      <c r="O333" s="23"/>
    </row>
    <row r="334">
      <c r="B334" s="23"/>
      <c r="C334" s="23"/>
      <c r="E334" s="24"/>
      <c r="G334" s="23"/>
      <c r="H334" s="23"/>
      <c r="I334" s="23"/>
      <c r="J334" s="23"/>
      <c r="K334" s="23"/>
      <c r="L334" s="23"/>
      <c r="M334" s="23"/>
      <c r="N334" s="23"/>
      <c r="O334" s="23"/>
    </row>
    <row r="335">
      <c r="B335" s="23"/>
      <c r="C335" s="23"/>
      <c r="E335" s="24"/>
      <c r="G335" s="23"/>
      <c r="H335" s="23"/>
      <c r="I335" s="23"/>
      <c r="J335" s="23"/>
      <c r="K335" s="23"/>
      <c r="L335" s="23"/>
      <c r="M335" s="23"/>
      <c r="N335" s="23"/>
      <c r="O335" s="23"/>
    </row>
    <row r="336">
      <c r="B336" s="23"/>
      <c r="C336" s="23"/>
      <c r="E336" s="24"/>
      <c r="G336" s="23"/>
      <c r="H336" s="23"/>
      <c r="I336" s="23"/>
      <c r="J336" s="23"/>
      <c r="K336" s="23"/>
      <c r="L336" s="23"/>
      <c r="M336" s="23"/>
      <c r="N336" s="23"/>
      <c r="O336" s="23"/>
    </row>
    <row r="337">
      <c r="B337" s="23"/>
      <c r="C337" s="23"/>
      <c r="E337" s="24"/>
      <c r="G337" s="23"/>
      <c r="H337" s="23"/>
      <c r="I337" s="23"/>
      <c r="J337" s="23"/>
      <c r="K337" s="23"/>
      <c r="L337" s="23"/>
      <c r="M337" s="23"/>
      <c r="N337" s="23"/>
      <c r="O337" s="23"/>
    </row>
    <row r="338">
      <c r="B338" s="23"/>
      <c r="C338" s="23"/>
      <c r="E338" s="24"/>
      <c r="G338" s="23"/>
      <c r="H338" s="23"/>
      <c r="I338" s="23"/>
      <c r="J338" s="23"/>
      <c r="K338" s="23"/>
      <c r="L338" s="23"/>
      <c r="M338" s="23"/>
      <c r="N338" s="23"/>
      <c r="O338" s="23"/>
    </row>
    <row r="339">
      <c r="B339" s="23"/>
      <c r="C339" s="23"/>
      <c r="E339" s="24"/>
      <c r="G339" s="23"/>
      <c r="H339" s="23"/>
      <c r="I339" s="23"/>
      <c r="J339" s="23"/>
      <c r="K339" s="23"/>
      <c r="L339" s="23"/>
      <c r="M339" s="23"/>
      <c r="N339" s="23"/>
      <c r="O339" s="23"/>
    </row>
    <row r="340">
      <c r="B340" s="23"/>
      <c r="C340" s="23"/>
      <c r="E340" s="24"/>
      <c r="G340" s="23"/>
      <c r="H340" s="23"/>
      <c r="I340" s="23"/>
      <c r="J340" s="23"/>
      <c r="K340" s="23"/>
      <c r="L340" s="23"/>
      <c r="M340" s="23"/>
      <c r="N340" s="23"/>
      <c r="O340" s="23"/>
    </row>
    <row r="341">
      <c r="B341" s="23"/>
      <c r="C341" s="23"/>
      <c r="E341" s="24"/>
      <c r="G341" s="23"/>
      <c r="H341" s="23"/>
      <c r="I341" s="23"/>
      <c r="J341" s="23"/>
      <c r="K341" s="23"/>
      <c r="L341" s="23"/>
      <c r="M341" s="23"/>
      <c r="N341" s="23"/>
      <c r="O341" s="23"/>
    </row>
    <row r="342">
      <c r="B342" s="23"/>
      <c r="C342" s="23"/>
      <c r="E342" s="24"/>
      <c r="G342" s="23"/>
      <c r="H342" s="23"/>
      <c r="I342" s="23"/>
      <c r="J342" s="23"/>
      <c r="K342" s="23"/>
      <c r="L342" s="23"/>
      <c r="M342" s="23"/>
      <c r="N342" s="23"/>
      <c r="O342" s="23"/>
    </row>
    <row r="343">
      <c r="B343" s="23"/>
      <c r="C343" s="23"/>
      <c r="E343" s="24"/>
      <c r="G343" s="23"/>
      <c r="H343" s="23"/>
      <c r="I343" s="23"/>
      <c r="J343" s="23"/>
      <c r="K343" s="23"/>
      <c r="L343" s="23"/>
      <c r="M343" s="23"/>
      <c r="N343" s="23"/>
      <c r="O343" s="23"/>
    </row>
    <row r="344">
      <c r="B344" s="23"/>
      <c r="C344" s="23"/>
      <c r="E344" s="24"/>
      <c r="G344" s="23"/>
      <c r="H344" s="23"/>
      <c r="I344" s="23"/>
      <c r="J344" s="23"/>
      <c r="K344" s="23"/>
      <c r="L344" s="23"/>
      <c r="M344" s="23"/>
      <c r="N344" s="23"/>
      <c r="O344" s="23"/>
    </row>
    <row r="345">
      <c r="B345" s="23"/>
      <c r="C345" s="23"/>
      <c r="E345" s="24"/>
      <c r="G345" s="23"/>
      <c r="H345" s="23"/>
      <c r="I345" s="23"/>
      <c r="J345" s="23"/>
      <c r="K345" s="23"/>
      <c r="L345" s="23"/>
      <c r="M345" s="23"/>
      <c r="N345" s="23"/>
      <c r="O345" s="23"/>
    </row>
    <row r="346">
      <c r="B346" s="23"/>
      <c r="C346" s="23"/>
      <c r="E346" s="24"/>
      <c r="G346" s="23"/>
      <c r="H346" s="23"/>
      <c r="I346" s="23"/>
      <c r="J346" s="23"/>
      <c r="K346" s="23"/>
      <c r="L346" s="23"/>
      <c r="M346" s="23"/>
      <c r="N346" s="23"/>
      <c r="O346" s="23"/>
    </row>
    <row r="347">
      <c r="B347" s="23"/>
      <c r="C347" s="23"/>
      <c r="E347" s="24"/>
      <c r="G347" s="23"/>
      <c r="H347" s="23"/>
      <c r="I347" s="23"/>
      <c r="J347" s="23"/>
      <c r="K347" s="23"/>
      <c r="L347" s="23"/>
      <c r="M347" s="23"/>
      <c r="N347" s="23"/>
      <c r="O347" s="23"/>
    </row>
    <row r="348">
      <c r="B348" s="23"/>
      <c r="C348" s="23"/>
      <c r="E348" s="24"/>
      <c r="G348" s="23"/>
      <c r="H348" s="23"/>
      <c r="I348" s="23"/>
      <c r="J348" s="23"/>
      <c r="K348" s="23"/>
      <c r="L348" s="23"/>
      <c r="M348" s="23"/>
      <c r="N348" s="23"/>
      <c r="O348" s="23"/>
    </row>
    <row r="349">
      <c r="B349" s="23"/>
      <c r="C349" s="23"/>
      <c r="E349" s="24"/>
      <c r="G349" s="23"/>
      <c r="H349" s="23"/>
      <c r="I349" s="23"/>
      <c r="J349" s="23"/>
      <c r="K349" s="23"/>
      <c r="L349" s="23"/>
      <c r="M349" s="23"/>
      <c r="N349" s="23"/>
      <c r="O349" s="23"/>
    </row>
    <row r="350">
      <c r="B350" s="23"/>
      <c r="C350" s="23"/>
      <c r="E350" s="24"/>
      <c r="G350" s="23"/>
      <c r="H350" s="23"/>
      <c r="I350" s="23"/>
      <c r="J350" s="23"/>
      <c r="K350" s="23"/>
      <c r="L350" s="23"/>
      <c r="M350" s="23"/>
      <c r="N350" s="23"/>
      <c r="O350" s="23"/>
    </row>
    <row r="351">
      <c r="B351" s="23"/>
      <c r="C351" s="23"/>
      <c r="E351" s="24"/>
      <c r="G351" s="23"/>
      <c r="H351" s="23"/>
      <c r="I351" s="23"/>
      <c r="J351" s="23"/>
      <c r="K351" s="23"/>
      <c r="L351" s="23"/>
      <c r="M351" s="23"/>
      <c r="N351" s="23"/>
      <c r="O351" s="23"/>
    </row>
    <row r="352">
      <c r="B352" s="23"/>
      <c r="C352" s="23"/>
      <c r="E352" s="24"/>
      <c r="G352" s="23"/>
      <c r="H352" s="23"/>
      <c r="I352" s="23"/>
      <c r="J352" s="23"/>
      <c r="K352" s="23"/>
      <c r="L352" s="23"/>
      <c r="M352" s="23"/>
      <c r="N352" s="23"/>
      <c r="O352" s="23"/>
    </row>
    <row r="353">
      <c r="B353" s="23"/>
      <c r="C353" s="23"/>
      <c r="E353" s="24"/>
      <c r="G353" s="23"/>
      <c r="H353" s="23"/>
      <c r="I353" s="23"/>
      <c r="J353" s="23"/>
      <c r="K353" s="23"/>
      <c r="L353" s="23"/>
      <c r="M353" s="23"/>
      <c r="N353" s="23"/>
      <c r="O353" s="23"/>
    </row>
    <row r="354">
      <c r="B354" s="23"/>
      <c r="C354" s="23"/>
      <c r="E354" s="24"/>
      <c r="G354" s="23"/>
      <c r="H354" s="23"/>
      <c r="I354" s="23"/>
      <c r="J354" s="23"/>
      <c r="K354" s="23"/>
      <c r="L354" s="23"/>
      <c r="M354" s="23"/>
      <c r="N354" s="23"/>
      <c r="O354" s="23"/>
    </row>
    <row r="355">
      <c r="B355" s="23"/>
      <c r="C355" s="23"/>
      <c r="E355" s="24"/>
      <c r="G355" s="23"/>
      <c r="H355" s="23"/>
      <c r="I355" s="23"/>
      <c r="J355" s="23"/>
      <c r="K355" s="23"/>
      <c r="L355" s="23"/>
      <c r="M355" s="23"/>
      <c r="N355" s="23"/>
      <c r="O355" s="23"/>
    </row>
    <row r="356">
      <c r="B356" s="23"/>
      <c r="C356" s="23"/>
      <c r="E356" s="24"/>
      <c r="G356" s="23"/>
      <c r="H356" s="23"/>
      <c r="I356" s="23"/>
      <c r="J356" s="23"/>
      <c r="K356" s="23"/>
      <c r="L356" s="23"/>
      <c r="M356" s="23"/>
      <c r="N356" s="23"/>
      <c r="O356" s="23"/>
    </row>
    <row r="357">
      <c r="B357" s="23"/>
      <c r="C357" s="23"/>
      <c r="E357" s="24"/>
      <c r="G357" s="23"/>
      <c r="H357" s="23"/>
      <c r="I357" s="23"/>
      <c r="J357" s="23"/>
      <c r="K357" s="23"/>
      <c r="L357" s="23"/>
      <c r="M357" s="23"/>
      <c r="N357" s="23"/>
      <c r="O357" s="23"/>
    </row>
    <row r="358">
      <c r="B358" s="23"/>
      <c r="C358" s="23"/>
      <c r="E358" s="24"/>
      <c r="G358" s="23"/>
      <c r="H358" s="23"/>
      <c r="I358" s="23"/>
      <c r="J358" s="23"/>
      <c r="K358" s="23"/>
      <c r="L358" s="23"/>
      <c r="M358" s="23"/>
      <c r="N358" s="23"/>
      <c r="O358" s="23"/>
    </row>
    <row r="359">
      <c r="B359" s="23"/>
      <c r="C359" s="23"/>
      <c r="E359" s="24"/>
      <c r="G359" s="23"/>
      <c r="H359" s="23"/>
      <c r="I359" s="23"/>
      <c r="J359" s="23"/>
      <c r="K359" s="23"/>
      <c r="L359" s="23"/>
      <c r="M359" s="23"/>
      <c r="N359" s="23"/>
      <c r="O359" s="23"/>
    </row>
    <row r="360">
      <c r="B360" s="23"/>
      <c r="C360" s="23"/>
      <c r="E360" s="24"/>
      <c r="G360" s="23"/>
      <c r="H360" s="23"/>
      <c r="I360" s="23"/>
      <c r="J360" s="23"/>
      <c r="K360" s="23"/>
      <c r="L360" s="23"/>
      <c r="M360" s="23"/>
      <c r="N360" s="23"/>
      <c r="O360" s="23"/>
    </row>
    <row r="361">
      <c r="B361" s="23"/>
      <c r="C361" s="23"/>
      <c r="E361" s="24"/>
      <c r="G361" s="23"/>
      <c r="H361" s="23"/>
      <c r="I361" s="23"/>
      <c r="J361" s="23"/>
      <c r="K361" s="23"/>
      <c r="L361" s="23"/>
      <c r="M361" s="23"/>
      <c r="N361" s="23"/>
      <c r="O361" s="23"/>
    </row>
    <row r="362">
      <c r="B362" s="23"/>
      <c r="C362" s="23"/>
      <c r="E362" s="24"/>
      <c r="G362" s="23"/>
      <c r="H362" s="23"/>
      <c r="I362" s="23"/>
      <c r="J362" s="23"/>
      <c r="K362" s="23"/>
      <c r="L362" s="23"/>
      <c r="M362" s="23"/>
      <c r="N362" s="23"/>
      <c r="O362" s="23"/>
    </row>
    <row r="363">
      <c r="B363" s="23"/>
      <c r="C363" s="23"/>
      <c r="E363" s="24"/>
      <c r="G363" s="23"/>
      <c r="H363" s="23"/>
      <c r="I363" s="23"/>
      <c r="J363" s="23"/>
      <c r="K363" s="23"/>
      <c r="L363" s="23"/>
      <c r="M363" s="23"/>
      <c r="N363" s="23"/>
      <c r="O363" s="23"/>
    </row>
    <row r="364">
      <c r="B364" s="23"/>
      <c r="C364" s="23"/>
      <c r="E364" s="24"/>
      <c r="G364" s="23"/>
      <c r="H364" s="23"/>
      <c r="I364" s="23"/>
      <c r="J364" s="23"/>
      <c r="K364" s="23"/>
      <c r="L364" s="23"/>
      <c r="M364" s="23"/>
      <c r="N364" s="23"/>
      <c r="O364" s="23"/>
    </row>
    <row r="365">
      <c r="B365" s="23"/>
      <c r="C365" s="23"/>
      <c r="E365" s="24"/>
      <c r="G365" s="23"/>
      <c r="H365" s="23"/>
      <c r="I365" s="23"/>
      <c r="J365" s="23"/>
      <c r="K365" s="23"/>
      <c r="L365" s="23"/>
      <c r="M365" s="23"/>
      <c r="N365" s="23"/>
      <c r="O365" s="23"/>
    </row>
    <row r="366">
      <c r="B366" s="23"/>
      <c r="C366" s="23"/>
      <c r="E366" s="24"/>
      <c r="G366" s="23"/>
      <c r="H366" s="23"/>
      <c r="I366" s="23"/>
      <c r="J366" s="23"/>
      <c r="K366" s="23"/>
      <c r="L366" s="23"/>
      <c r="M366" s="23"/>
      <c r="N366" s="23"/>
      <c r="O366" s="23"/>
    </row>
    <row r="367">
      <c r="B367" s="23"/>
      <c r="C367" s="23"/>
      <c r="E367" s="24"/>
      <c r="G367" s="23"/>
      <c r="H367" s="23"/>
      <c r="I367" s="23"/>
      <c r="J367" s="23"/>
      <c r="K367" s="23"/>
      <c r="L367" s="23"/>
      <c r="M367" s="23"/>
      <c r="N367" s="23"/>
      <c r="O367" s="23"/>
    </row>
    <row r="368">
      <c r="B368" s="23"/>
      <c r="C368" s="23"/>
      <c r="E368" s="24"/>
      <c r="G368" s="23"/>
      <c r="H368" s="23"/>
      <c r="I368" s="23"/>
      <c r="J368" s="23"/>
      <c r="K368" s="23"/>
      <c r="L368" s="23"/>
      <c r="M368" s="23"/>
      <c r="N368" s="23"/>
      <c r="O368" s="23"/>
    </row>
    <row r="369">
      <c r="B369" s="23"/>
      <c r="C369" s="23"/>
      <c r="E369" s="24"/>
      <c r="G369" s="23"/>
      <c r="H369" s="23"/>
      <c r="I369" s="23"/>
      <c r="J369" s="23"/>
      <c r="K369" s="23"/>
      <c r="L369" s="23"/>
      <c r="M369" s="23"/>
      <c r="N369" s="23"/>
      <c r="O369" s="23"/>
    </row>
    <row r="370">
      <c r="B370" s="23"/>
      <c r="C370" s="23"/>
      <c r="E370" s="24"/>
      <c r="G370" s="23"/>
      <c r="H370" s="23"/>
      <c r="I370" s="23"/>
      <c r="J370" s="23"/>
      <c r="K370" s="23"/>
      <c r="L370" s="23"/>
      <c r="M370" s="23"/>
      <c r="N370" s="23"/>
      <c r="O370" s="23"/>
    </row>
    <row r="371">
      <c r="B371" s="23"/>
      <c r="C371" s="23"/>
      <c r="E371" s="24"/>
      <c r="G371" s="23"/>
      <c r="H371" s="23"/>
      <c r="I371" s="23"/>
      <c r="J371" s="23"/>
      <c r="K371" s="23"/>
      <c r="L371" s="23"/>
      <c r="M371" s="23"/>
      <c r="N371" s="23"/>
      <c r="O371" s="23"/>
    </row>
    <row r="372">
      <c r="B372" s="23"/>
      <c r="C372" s="23"/>
      <c r="E372" s="24"/>
      <c r="G372" s="23"/>
      <c r="H372" s="23"/>
      <c r="I372" s="23"/>
      <c r="J372" s="23"/>
      <c r="K372" s="23"/>
      <c r="L372" s="23"/>
      <c r="M372" s="23"/>
      <c r="N372" s="23"/>
      <c r="O372" s="23"/>
    </row>
    <row r="373">
      <c r="B373" s="23"/>
      <c r="C373" s="23"/>
      <c r="E373" s="24"/>
      <c r="G373" s="23"/>
      <c r="H373" s="23"/>
      <c r="I373" s="23"/>
      <c r="J373" s="23"/>
      <c r="K373" s="23"/>
      <c r="L373" s="23"/>
      <c r="M373" s="23"/>
      <c r="N373" s="23"/>
      <c r="O373" s="23"/>
    </row>
    <row r="374">
      <c r="B374" s="23"/>
      <c r="C374" s="23"/>
      <c r="E374" s="24"/>
      <c r="G374" s="23"/>
      <c r="H374" s="23"/>
      <c r="I374" s="23"/>
      <c r="J374" s="23"/>
      <c r="K374" s="23"/>
      <c r="L374" s="23"/>
      <c r="M374" s="23"/>
      <c r="N374" s="23"/>
      <c r="O374" s="23"/>
    </row>
    <row r="375">
      <c r="B375" s="23"/>
      <c r="C375" s="23"/>
      <c r="E375" s="24"/>
      <c r="G375" s="23"/>
      <c r="H375" s="23"/>
      <c r="I375" s="23"/>
      <c r="J375" s="23"/>
      <c r="K375" s="23"/>
      <c r="L375" s="23"/>
      <c r="M375" s="23"/>
      <c r="N375" s="23"/>
      <c r="O375" s="23"/>
    </row>
    <row r="376">
      <c r="B376" s="23"/>
      <c r="C376" s="23"/>
      <c r="E376" s="24"/>
      <c r="G376" s="23"/>
      <c r="H376" s="23"/>
      <c r="I376" s="23"/>
      <c r="J376" s="23"/>
      <c r="K376" s="23"/>
      <c r="L376" s="23"/>
      <c r="M376" s="23"/>
      <c r="N376" s="23"/>
      <c r="O376" s="23"/>
    </row>
    <row r="377">
      <c r="B377" s="23"/>
      <c r="C377" s="23"/>
      <c r="E377" s="24"/>
      <c r="G377" s="23"/>
      <c r="H377" s="23"/>
      <c r="I377" s="23"/>
      <c r="J377" s="23"/>
      <c r="K377" s="23"/>
      <c r="L377" s="23"/>
      <c r="M377" s="23"/>
      <c r="N377" s="23"/>
      <c r="O377" s="23"/>
    </row>
    <row r="378">
      <c r="B378" s="23"/>
      <c r="C378" s="23"/>
      <c r="E378" s="24"/>
      <c r="G378" s="23"/>
      <c r="H378" s="23"/>
      <c r="I378" s="23"/>
      <c r="J378" s="23"/>
      <c r="K378" s="23"/>
      <c r="L378" s="23"/>
      <c r="M378" s="23"/>
      <c r="N378" s="23"/>
      <c r="O378" s="23"/>
    </row>
    <row r="379">
      <c r="B379" s="23"/>
      <c r="C379" s="23"/>
      <c r="E379" s="24"/>
      <c r="G379" s="23"/>
      <c r="H379" s="23"/>
      <c r="I379" s="23"/>
      <c r="J379" s="23"/>
      <c r="K379" s="23"/>
      <c r="L379" s="23"/>
      <c r="M379" s="23"/>
      <c r="N379" s="23"/>
      <c r="O379" s="23"/>
    </row>
    <row r="380">
      <c r="B380" s="23"/>
      <c r="C380" s="23"/>
      <c r="E380" s="24"/>
      <c r="G380" s="23"/>
      <c r="H380" s="23"/>
      <c r="I380" s="23"/>
      <c r="J380" s="23"/>
      <c r="K380" s="23"/>
      <c r="L380" s="23"/>
      <c r="M380" s="23"/>
      <c r="N380" s="23"/>
      <c r="O380" s="23"/>
    </row>
    <row r="381">
      <c r="B381" s="23"/>
      <c r="C381" s="23"/>
      <c r="E381" s="24"/>
      <c r="G381" s="23"/>
      <c r="H381" s="23"/>
      <c r="I381" s="23"/>
      <c r="J381" s="23"/>
      <c r="K381" s="23"/>
      <c r="L381" s="23"/>
      <c r="M381" s="23"/>
      <c r="N381" s="23"/>
      <c r="O381" s="23"/>
    </row>
    <row r="382">
      <c r="B382" s="23"/>
      <c r="C382" s="23"/>
      <c r="E382" s="24"/>
      <c r="G382" s="23"/>
      <c r="H382" s="23"/>
      <c r="I382" s="23"/>
      <c r="J382" s="23"/>
      <c r="K382" s="23"/>
      <c r="L382" s="23"/>
      <c r="M382" s="23"/>
      <c r="N382" s="23"/>
      <c r="O382" s="23"/>
    </row>
    <row r="383">
      <c r="B383" s="23"/>
      <c r="C383" s="23"/>
      <c r="E383" s="24"/>
      <c r="G383" s="23"/>
      <c r="H383" s="23"/>
      <c r="I383" s="23"/>
      <c r="J383" s="23"/>
      <c r="K383" s="23"/>
      <c r="L383" s="23"/>
      <c r="M383" s="23"/>
      <c r="N383" s="23"/>
      <c r="O383" s="23"/>
    </row>
    <row r="384">
      <c r="B384" s="23"/>
      <c r="C384" s="23"/>
      <c r="E384" s="24"/>
      <c r="G384" s="23"/>
      <c r="H384" s="23"/>
      <c r="I384" s="23"/>
      <c r="J384" s="23"/>
      <c r="K384" s="23"/>
      <c r="L384" s="23"/>
      <c r="M384" s="23"/>
      <c r="N384" s="23"/>
      <c r="O384" s="23"/>
    </row>
    <row r="385">
      <c r="B385" s="23"/>
      <c r="C385" s="23"/>
      <c r="E385" s="24"/>
      <c r="G385" s="23"/>
      <c r="H385" s="23"/>
      <c r="I385" s="23"/>
      <c r="J385" s="23"/>
      <c r="K385" s="23"/>
      <c r="L385" s="23"/>
      <c r="M385" s="23"/>
      <c r="N385" s="23"/>
      <c r="O385" s="23"/>
    </row>
    <row r="386">
      <c r="B386" s="23"/>
      <c r="C386" s="23"/>
      <c r="E386" s="24"/>
      <c r="G386" s="23"/>
      <c r="H386" s="23"/>
      <c r="I386" s="23"/>
      <c r="J386" s="23"/>
      <c r="K386" s="23"/>
      <c r="L386" s="23"/>
      <c r="M386" s="23"/>
      <c r="N386" s="23"/>
      <c r="O386" s="23"/>
    </row>
    <row r="387">
      <c r="B387" s="23"/>
      <c r="C387" s="23"/>
      <c r="E387" s="24"/>
      <c r="G387" s="23"/>
      <c r="H387" s="23"/>
      <c r="I387" s="23"/>
      <c r="J387" s="23"/>
      <c r="K387" s="23"/>
      <c r="L387" s="23"/>
      <c r="M387" s="23"/>
      <c r="N387" s="23"/>
      <c r="O387" s="23"/>
    </row>
    <row r="388">
      <c r="B388" s="23"/>
      <c r="C388" s="23"/>
      <c r="E388" s="24"/>
      <c r="G388" s="23"/>
      <c r="H388" s="23"/>
      <c r="I388" s="23"/>
      <c r="J388" s="23"/>
      <c r="K388" s="23"/>
      <c r="L388" s="23"/>
      <c r="M388" s="23"/>
      <c r="N388" s="23"/>
      <c r="O388" s="23"/>
    </row>
    <row r="389">
      <c r="B389" s="23"/>
      <c r="C389" s="23"/>
      <c r="E389" s="24"/>
      <c r="G389" s="23"/>
      <c r="H389" s="23"/>
      <c r="I389" s="23"/>
      <c r="J389" s="23"/>
      <c r="K389" s="23"/>
      <c r="L389" s="23"/>
      <c r="M389" s="23"/>
      <c r="N389" s="23"/>
      <c r="O389" s="23"/>
    </row>
    <row r="390">
      <c r="B390" s="23"/>
      <c r="C390" s="23"/>
      <c r="E390" s="24"/>
      <c r="G390" s="23"/>
      <c r="H390" s="23"/>
      <c r="I390" s="23"/>
      <c r="J390" s="23"/>
      <c r="K390" s="23"/>
      <c r="L390" s="23"/>
      <c r="M390" s="23"/>
      <c r="N390" s="23"/>
      <c r="O390" s="23"/>
    </row>
    <row r="391">
      <c r="B391" s="23"/>
      <c r="C391" s="23"/>
      <c r="E391" s="24"/>
      <c r="G391" s="23"/>
      <c r="H391" s="23"/>
      <c r="I391" s="23"/>
      <c r="J391" s="23"/>
      <c r="K391" s="23"/>
      <c r="L391" s="23"/>
      <c r="M391" s="23"/>
      <c r="N391" s="23"/>
      <c r="O391" s="23"/>
    </row>
    <row r="392">
      <c r="B392" s="23"/>
      <c r="C392" s="23"/>
      <c r="E392" s="24"/>
      <c r="G392" s="23"/>
      <c r="H392" s="23"/>
      <c r="I392" s="23"/>
      <c r="J392" s="23"/>
      <c r="K392" s="23"/>
      <c r="L392" s="23"/>
      <c r="M392" s="23"/>
      <c r="N392" s="23"/>
      <c r="O392" s="23"/>
    </row>
    <row r="393">
      <c r="B393" s="23"/>
      <c r="C393" s="23"/>
      <c r="E393" s="24"/>
      <c r="G393" s="23"/>
      <c r="H393" s="23"/>
      <c r="I393" s="23"/>
      <c r="J393" s="23"/>
      <c r="K393" s="23"/>
      <c r="L393" s="23"/>
      <c r="M393" s="23"/>
      <c r="N393" s="23"/>
      <c r="O393" s="23"/>
    </row>
    <row r="394">
      <c r="B394" s="23"/>
      <c r="C394" s="23"/>
      <c r="E394" s="24"/>
      <c r="G394" s="23"/>
      <c r="H394" s="23"/>
      <c r="I394" s="23"/>
      <c r="J394" s="23"/>
      <c r="K394" s="23"/>
      <c r="L394" s="23"/>
      <c r="M394" s="23"/>
      <c r="N394" s="23"/>
      <c r="O394" s="23"/>
    </row>
    <row r="395">
      <c r="B395" s="23"/>
      <c r="C395" s="23"/>
      <c r="E395" s="24"/>
      <c r="G395" s="23"/>
      <c r="H395" s="23"/>
      <c r="I395" s="23"/>
      <c r="J395" s="23"/>
      <c r="K395" s="23"/>
      <c r="L395" s="23"/>
      <c r="M395" s="23"/>
      <c r="N395" s="23"/>
      <c r="O395" s="23"/>
    </row>
    <row r="396">
      <c r="B396" s="23"/>
      <c r="C396" s="23"/>
      <c r="E396" s="24"/>
      <c r="G396" s="23"/>
      <c r="H396" s="23"/>
      <c r="I396" s="23"/>
      <c r="J396" s="23"/>
      <c r="K396" s="23"/>
      <c r="L396" s="23"/>
      <c r="M396" s="23"/>
      <c r="N396" s="23"/>
      <c r="O396" s="23"/>
    </row>
    <row r="397">
      <c r="B397" s="23"/>
      <c r="C397" s="23"/>
      <c r="E397" s="24"/>
      <c r="G397" s="23"/>
      <c r="H397" s="23"/>
      <c r="I397" s="23"/>
      <c r="J397" s="23"/>
      <c r="K397" s="23"/>
      <c r="L397" s="23"/>
      <c r="M397" s="23"/>
      <c r="N397" s="23"/>
      <c r="O397" s="23"/>
    </row>
    <row r="398">
      <c r="B398" s="23"/>
      <c r="C398" s="23"/>
      <c r="E398" s="24"/>
      <c r="G398" s="23"/>
      <c r="H398" s="23"/>
      <c r="I398" s="23"/>
      <c r="J398" s="23"/>
      <c r="K398" s="23"/>
      <c r="L398" s="23"/>
      <c r="M398" s="23"/>
      <c r="N398" s="23"/>
      <c r="O398" s="23"/>
    </row>
    <row r="399">
      <c r="B399" s="23"/>
      <c r="C399" s="23"/>
      <c r="E399" s="24"/>
      <c r="G399" s="23"/>
      <c r="H399" s="23"/>
      <c r="I399" s="23"/>
      <c r="J399" s="23"/>
      <c r="K399" s="23"/>
      <c r="L399" s="23"/>
      <c r="M399" s="23"/>
      <c r="N399" s="23"/>
      <c r="O399" s="23"/>
    </row>
    <row r="400">
      <c r="B400" s="23"/>
      <c r="C400" s="23"/>
      <c r="E400" s="24"/>
      <c r="G400" s="23"/>
      <c r="H400" s="23"/>
      <c r="I400" s="23"/>
      <c r="J400" s="23"/>
      <c r="K400" s="23"/>
      <c r="L400" s="23"/>
      <c r="M400" s="23"/>
      <c r="N400" s="23"/>
      <c r="O400" s="23"/>
    </row>
    <row r="401">
      <c r="B401" s="23"/>
      <c r="C401" s="23"/>
      <c r="E401" s="24"/>
      <c r="G401" s="23"/>
      <c r="H401" s="23"/>
      <c r="I401" s="23"/>
      <c r="J401" s="23"/>
      <c r="K401" s="23"/>
      <c r="L401" s="23"/>
      <c r="M401" s="23"/>
      <c r="N401" s="23"/>
      <c r="O401" s="23"/>
    </row>
    <row r="402">
      <c r="B402" s="23"/>
      <c r="C402" s="23"/>
      <c r="E402" s="24"/>
      <c r="G402" s="23"/>
      <c r="H402" s="23"/>
      <c r="I402" s="23"/>
      <c r="J402" s="23"/>
      <c r="K402" s="23"/>
      <c r="L402" s="23"/>
      <c r="M402" s="23"/>
      <c r="N402" s="23"/>
      <c r="O402" s="23"/>
    </row>
    <row r="403">
      <c r="B403" s="23"/>
      <c r="C403" s="23"/>
      <c r="E403" s="24"/>
      <c r="G403" s="23"/>
      <c r="H403" s="23"/>
      <c r="I403" s="23"/>
      <c r="J403" s="23"/>
      <c r="K403" s="23"/>
      <c r="L403" s="23"/>
      <c r="M403" s="23"/>
      <c r="N403" s="23"/>
      <c r="O403" s="23"/>
    </row>
    <row r="404">
      <c r="B404" s="23"/>
      <c r="C404" s="23"/>
      <c r="E404" s="24"/>
      <c r="G404" s="23"/>
      <c r="H404" s="23"/>
      <c r="I404" s="23"/>
      <c r="J404" s="23"/>
      <c r="K404" s="23"/>
      <c r="L404" s="23"/>
      <c r="M404" s="23"/>
      <c r="N404" s="23"/>
      <c r="O404" s="23"/>
    </row>
    <row r="405">
      <c r="B405" s="23"/>
      <c r="C405" s="23"/>
      <c r="E405" s="24"/>
      <c r="G405" s="23"/>
      <c r="H405" s="23"/>
      <c r="I405" s="23"/>
      <c r="J405" s="23"/>
      <c r="K405" s="23"/>
      <c r="L405" s="23"/>
      <c r="M405" s="23"/>
      <c r="N405" s="23"/>
      <c r="O405" s="23"/>
    </row>
    <row r="406">
      <c r="B406" s="23"/>
      <c r="C406" s="23"/>
      <c r="E406" s="24"/>
      <c r="G406" s="23"/>
      <c r="H406" s="23"/>
      <c r="I406" s="23"/>
      <c r="J406" s="23"/>
      <c r="K406" s="23"/>
      <c r="L406" s="23"/>
      <c r="M406" s="23"/>
      <c r="N406" s="23"/>
      <c r="O406" s="23"/>
    </row>
    <row r="407">
      <c r="B407" s="23"/>
      <c r="C407" s="23"/>
      <c r="E407" s="24"/>
      <c r="G407" s="23"/>
      <c r="H407" s="23"/>
      <c r="I407" s="23"/>
      <c r="J407" s="23"/>
      <c r="K407" s="23"/>
      <c r="L407" s="23"/>
      <c r="M407" s="23"/>
      <c r="N407" s="23"/>
      <c r="O407" s="23"/>
    </row>
    <row r="408">
      <c r="B408" s="23"/>
      <c r="C408" s="23"/>
      <c r="E408" s="24"/>
      <c r="G408" s="23"/>
      <c r="H408" s="23"/>
      <c r="I408" s="23"/>
      <c r="J408" s="23"/>
      <c r="K408" s="23"/>
      <c r="L408" s="23"/>
      <c r="M408" s="23"/>
      <c r="N408" s="23"/>
      <c r="O408" s="23"/>
    </row>
    <row r="409">
      <c r="B409" s="23"/>
      <c r="C409" s="23"/>
      <c r="E409" s="24"/>
      <c r="G409" s="23"/>
      <c r="H409" s="23"/>
      <c r="I409" s="23"/>
      <c r="J409" s="23"/>
      <c r="K409" s="23"/>
      <c r="L409" s="23"/>
      <c r="M409" s="23"/>
      <c r="N409" s="23"/>
      <c r="O409" s="23"/>
    </row>
    <row r="410">
      <c r="B410" s="23"/>
      <c r="C410" s="23"/>
      <c r="E410" s="24"/>
      <c r="G410" s="23"/>
      <c r="H410" s="23"/>
      <c r="I410" s="23"/>
      <c r="J410" s="23"/>
      <c r="K410" s="23"/>
      <c r="L410" s="23"/>
      <c r="M410" s="23"/>
      <c r="N410" s="23"/>
      <c r="O410" s="23"/>
    </row>
    <row r="411">
      <c r="B411" s="23"/>
      <c r="C411" s="23"/>
      <c r="E411" s="24"/>
      <c r="G411" s="23"/>
      <c r="H411" s="23"/>
      <c r="I411" s="23"/>
      <c r="J411" s="23"/>
      <c r="K411" s="23"/>
      <c r="L411" s="23"/>
      <c r="M411" s="23"/>
      <c r="N411" s="23"/>
      <c r="O411" s="23"/>
    </row>
    <row r="412">
      <c r="B412" s="23"/>
      <c r="C412" s="23"/>
      <c r="E412" s="24"/>
      <c r="G412" s="23"/>
      <c r="H412" s="23"/>
      <c r="I412" s="23"/>
      <c r="J412" s="23"/>
      <c r="K412" s="23"/>
      <c r="L412" s="23"/>
      <c r="M412" s="23"/>
      <c r="N412" s="23"/>
      <c r="O412" s="23"/>
    </row>
    <row r="413">
      <c r="B413" s="23"/>
      <c r="C413" s="23"/>
      <c r="E413" s="24"/>
      <c r="G413" s="23"/>
      <c r="H413" s="23"/>
      <c r="I413" s="23"/>
      <c r="J413" s="23"/>
      <c r="K413" s="23"/>
      <c r="L413" s="23"/>
      <c r="M413" s="23"/>
      <c r="N413" s="23"/>
      <c r="O413" s="23"/>
    </row>
    <row r="414">
      <c r="B414" s="23"/>
      <c r="C414" s="23"/>
      <c r="E414" s="24"/>
      <c r="G414" s="23"/>
      <c r="H414" s="23"/>
      <c r="I414" s="23"/>
      <c r="J414" s="23"/>
      <c r="K414" s="23"/>
      <c r="L414" s="23"/>
      <c r="M414" s="23"/>
      <c r="N414" s="23"/>
      <c r="O414" s="23"/>
    </row>
    <row r="415">
      <c r="B415" s="23"/>
      <c r="C415" s="23"/>
      <c r="E415" s="24"/>
      <c r="G415" s="23"/>
      <c r="H415" s="23"/>
      <c r="I415" s="23"/>
      <c r="J415" s="23"/>
      <c r="K415" s="23"/>
      <c r="L415" s="23"/>
      <c r="M415" s="23"/>
      <c r="N415" s="23"/>
      <c r="O415" s="23"/>
    </row>
    <row r="416">
      <c r="B416" s="23"/>
      <c r="C416" s="23"/>
      <c r="E416" s="24"/>
      <c r="G416" s="23"/>
      <c r="H416" s="23"/>
      <c r="I416" s="23"/>
      <c r="J416" s="23"/>
      <c r="K416" s="23"/>
      <c r="L416" s="23"/>
      <c r="M416" s="23"/>
      <c r="N416" s="23"/>
      <c r="O416" s="23"/>
    </row>
    <row r="417">
      <c r="B417" s="23"/>
      <c r="C417" s="23"/>
      <c r="E417" s="24"/>
      <c r="G417" s="23"/>
      <c r="H417" s="23"/>
      <c r="I417" s="23"/>
      <c r="J417" s="23"/>
      <c r="K417" s="23"/>
      <c r="L417" s="23"/>
      <c r="M417" s="23"/>
      <c r="N417" s="23"/>
      <c r="O417" s="23"/>
    </row>
    <row r="418">
      <c r="B418" s="23"/>
      <c r="C418" s="23"/>
      <c r="E418" s="24"/>
      <c r="G418" s="23"/>
      <c r="H418" s="23"/>
      <c r="I418" s="23"/>
      <c r="J418" s="23"/>
      <c r="K418" s="23"/>
      <c r="L418" s="23"/>
      <c r="M418" s="23"/>
      <c r="N418" s="23"/>
      <c r="O418" s="23"/>
    </row>
    <row r="419">
      <c r="B419" s="23"/>
      <c r="C419" s="23"/>
      <c r="E419" s="24"/>
      <c r="G419" s="23"/>
      <c r="H419" s="23"/>
      <c r="I419" s="23"/>
      <c r="J419" s="23"/>
      <c r="K419" s="23"/>
      <c r="L419" s="23"/>
      <c r="M419" s="23"/>
      <c r="N419" s="23"/>
      <c r="O419" s="23"/>
    </row>
    <row r="420">
      <c r="B420" s="23"/>
      <c r="C420" s="23"/>
      <c r="E420" s="24"/>
      <c r="G420" s="23"/>
      <c r="H420" s="23"/>
      <c r="I420" s="23"/>
      <c r="J420" s="23"/>
      <c r="K420" s="23"/>
      <c r="L420" s="23"/>
      <c r="M420" s="23"/>
      <c r="N420" s="23"/>
      <c r="O420" s="23"/>
    </row>
    <row r="421">
      <c r="B421" s="23"/>
      <c r="C421" s="23"/>
      <c r="E421" s="24"/>
      <c r="G421" s="23"/>
      <c r="H421" s="23"/>
      <c r="I421" s="23"/>
      <c r="J421" s="23"/>
      <c r="K421" s="23"/>
      <c r="L421" s="23"/>
      <c r="M421" s="23"/>
      <c r="N421" s="23"/>
      <c r="O421" s="23"/>
    </row>
    <row r="422">
      <c r="B422" s="23"/>
      <c r="C422" s="23"/>
      <c r="E422" s="24"/>
      <c r="G422" s="23"/>
      <c r="H422" s="23"/>
      <c r="I422" s="23"/>
      <c r="J422" s="23"/>
      <c r="K422" s="23"/>
      <c r="L422" s="23"/>
      <c r="M422" s="23"/>
      <c r="N422" s="23"/>
      <c r="O422" s="23"/>
    </row>
    <row r="423">
      <c r="B423" s="23"/>
      <c r="C423" s="23"/>
      <c r="E423" s="24"/>
      <c r="G423" s="23"/>
      <c r="H423" s="23"/>
      <c r="I423" s="23"/>
      <c r="J423" s="23"/>
      <c r="K423" s="23"/>
      <c r="L423" s="23"/>
      <c r="M423" s="23"/>
      <c r="N423" s="23"/>
      <c r="O423" s="23"/>
    </row>
    <row r="424">
      <c r="B424" s="23"/>
      <c r="C424" s="23"/>
      <c r="E424" s="24"/>
      <c r="G424" s="23"/>
      <c r="H424" s="23"/>
      <c r="I424" s="23"/>
      <c r="J424" s="23"/>
      <c r="K424" s="23"/>
      <c r="L424" s="23"/>
      <c r="M424" s="23"/>
      <c r="N424" s="23"/>
      <c r="O424" s="23"/>
    </row>
    <row r="425">
      <c r="B425" s="23"/>
      <c r="C425" s="23"/>
      <c r="E425" s="24"/>
      <c r="G425" s="23"/>
      <c r="H425" s="23"/>
      <c r="I425" s="23"/>
      <c r="J425" s="23"/>
      <c r="K425" s="23"/>
      <c r="L425" s="23"/>
      <c r="M425" s="23"/>
      <c r="N425" s="23"/>
      <c r="O425" s="23"/>
    </row>
    <row r="426">
      <c r="B426" s="23"/>
      <c r="C426" s="23"/>
      <c r="E426" s="24"/>
      <c r="G426" s="23"/>
      <c r="H426" s="23"/>
      <c r="I426" s="23"/>
      <c r="J426" s="23"/>
      <c r="K426" s="23"/>
      <c r="L426" s="23"/>
      <c r="M426" s="23"/>
      <c r="N426" s="23"/>
      <c r="O426" s="23"/>
    </row>
    <row r="427">
      <c r="B427" s="23"/>
      <c r="C427" s="23"/>
      <c r="E427" s="24"/>
      <c r="G427" s="23"/>
      <c r="H427" s="23"/>
      <c r="I427" s="23"/>
      <c r="J427" s="23"/>
      <c r="K427" s="23"/>
      <c r="L427" s="23"/>
      <c r="M427" s="23"/>
      <c r="N427" s="23"/>
      <c r="O427" s="23"/>
    </row>
    <row r="428">
      <c r="B428" s="23"/>
      <c r="C428" s="23"/>
      <c r="E428" s="24"/>
      <c r="G428" s="23"/>
      <c r="H428" s="23"/>
      <c r="I428" s="23"/>
      <c r="J428" s="23"/>
      <c r="K428" s="23"/>
      <c r="L428" s="23"/>
      <c r="M428" s="23"/>
      <c r="N428" s="23"/>
      <c r="O428" s="23"/>
    </row>
    <row r="429">
      <c r="B429" s="23"/>
      <c r="C429" s="23"/>
      <c r="E429" s="24"/>
      <c r="G429" s="23"/>
      <c r="H429" s="23"/>
      <c r="I429" s="23"/>
      <c r="J429" s="23"/>
      <c r="K429" s="23"/>
      <c r="L429" s="23"/>
      <c r="M429" s="23"/>
      <c r="N429" s="23"/>
      <c r="O429" s="23"/>
    </row>
    <row r="430">
      <c r="B430" s="23"/>
      <c r="C430" s="23"/>
      <c r="E430" s="24"/>
      <c r="G430" s="23"/>
      <c r="H430" s="23"/>
      <c r="I430" s="23"/>
      <c r="J430" s="23"/>
      <c r="K430" s="23"/>
      <c r="L430" s="23"/>
      <c r="M430" s="23"/>
      <c r="N430" s="23"/>
      <c r="O430" s="23"/>
    </row>
    <row r="431">
      <c r="B431" s="23"/>
      <c r="C431" s="23"/>
      <c r="E431" s="24"/>
      <c r="G431" s="23"/>
      <c r="H431" s="23"/>
      <c r="I431" s="23"/>
      <c r="J431" s="23"/>
      <c r="K431" s="23"/>
      <c r="L431" s="23"/>
      <c r="M431" s="23"/>
      <c r="N431" s="23"/>
      <c r="O431" s="23"/>
    </row>
    <row r="432">
      <c r="B432" s="23"/>
      <c r="C432" s="23"/>
      <c r="E432" s="24"/>
      <c r="G432" s="23"/>
      <c r="H432" s="23"/>
      <c r="I432" s="23"/>
      <c r="J432" s="23"/>
      <c r="K432" s="23"/>
      <c r="L432" s="23"/>
      <c r="M432" s="23"/>
      <c r="N432" s="23"/>
      <c r="O432" s="23"/>
    </row>
    <row r="433">
      <c r="B433" s="23"/>
      <c r="C433" s="23"/>
      <c r="E433" s="24"/>
      <c r="G433" s="23"/>
      <c r="H433" s="23"/>
      <c r="I433" s="23"/>
      <c r="J433" s="23"/>
      <c r="K433" s="23"/>
      <c r="L433" s="23"/>
      <c r="M433" s="23"/>
      <c r="N433" s="23"/>
      <c r="O433" s="23"/>
    </row>
    <row r="434">
      <c r="B434" s="23"/>
      <c r="C434" s="23"/>
      <c r="E434" s="24"/>
      <c r="G434" s="23"/>
      <c r="H434" s="23"/>
      <c r="I434" s="23"/>
      <c r="J434" s="23"/>
      <c r="K434" s="23"/>
      <c r="L434" s="23"/>
      <c r="M434" s="23"/>
      <c r="N434" s="23"/>
      <c r="O434" s="23"/>
    </row>
    <row r="435">
      <c r="B435" s="23"/>
      <c r="C435" s="23"/>
      <c r="E435" s="24"/>
      <c r="G435" s="23"/>
      <c r="H435" s="23"/>
      <c r="I435" s="23"/>
      <c r="J435" s="23"/>
      <c r="K435" s="23"/>
      <c r="L435" s="23"/>
      <c r="M435" s="23"/>
      <c r="N435" s="23"/>
      <c r="O435" s="23"/>
    </row>
    <row r="436">
      <c r="B436" s="23"/>
      <c r="C436" s="23"/>
      <c r="E436" s="24"/>
      <c r="G436" s="23"/>
      <c r="H436" s="23"/>
      <c r="I436" s="23"/>
      <c r="J436" s="23"/>
      <c r="K436" s="23"/>
      <c r="L436" s="23"/>
      <c r="M436" s="23"/>
      <c r="N436" s="23"/>
      <c r="O436" s="23"/>
    </row>
    <row r="437">
      <c r="B437" s="23"/>
      <c r="C437" s="23"/>
      <c r="E437" s="24"/>
      <c r="G437" s="23"/>
      <c r="H437" s="23"/>
      <c r="I437" s="23"/>
      <c r="J437" s="23"/>
      <c r="K437" s="23"/>
      <c r="L437" s="23"/>
      <c r="M437" s="23"/>
      <c r="N437" s="23"/>
      <c r="O437" s="23"/>
    </row>
    <row r="438">
      <c r="B438" s="23"/>
      <c r="C438" s="23"/>
      <c r="E438" s="24"/>
      <c r="G438" s="23"/>
      <c r="H438" s="23"/>
      <c r="I438" s="23"/>
      <c r="J438" s="23"/>
      <c r="K438" s="23"/>
      <c r="L438" s="23"/>
      <c r="M438" s="23"/>
      <c r="N438" s="23"/>
      <c r="O438" s="23"/>
    </row>
    <row r="439">
      <c r="B439" s="23"/>
      <c r="C439" s="23"/>
      <c r="E439" s="24"/>
      <c r="G439" s="23"/>
      <c r="H439" s="23"/>
      <c r="I439" s="23"/>
      <c r="J439" s="23"/>
      <c r="K439" s="23"/>
      <c r="L439" s="23"/>
      <c r="M439" s="23"/>
      <c r="N439" s="23"/>
      <c r="O439" s="23"/>
    </row>
    <row r="440">
      <c r="B440" s="23"/>
      <c r="C440" s="23"/>
      <c r="E440" s="24"/>
      <c r="G440" s="23"/>
      <c r="H440" s="23"/>
      <c r="I440" s="23"/>
      <c r="J440" s="23"/>
      <c r="K440" s="23"/>
      <c r="L440" s="23"/>
      <c r="M440" s="23"/>
      <c r="N440" s="23"/>
      <c r="O440" s="23"/>
    </row>
    <row r="441">
      <c r="B441" s="23"/>
      <c r="C441" s="23"/>
      <c r="E441" s="24"/>
      <c r="G441" s="23"/>
      <c r="H441" s="23"/>
      <c r="I441" s="23"/>
      <c r="J441" s="23"/>
      <c r="K441" s="23"/>
      <c r="L441" s="23"/>
      <c r="M441" s="23"/>
      <c r="N441" s="23"/>
      <c r="O441" s="23"/>
    </row>
    <row r="442">
      <c r="B442" s="23"/>
      <c r="C442" s="23"/>
      <c r="E442" s="24"/>
      <c r="G442" s="23"/>
      <c r="H442" s="23"/>
      <c r="I442" s="23"/>
      <c r="J442" s="23"/>
      <c r="K442" s="23"/>
      <c r="L442" s="23"/>
      <c r="M442" s="23"/>
      <c r="N442" s="23"/>
      <c r="O442" s="23"/>
    </row>
    <row r="443">
      <c r="B443" s="23"/>
      <c r="C443" s="23"/>
      <c r="E443" s="24"/>
      <c r="G443" s="23"/>
      <c r="H443" s="23"/>
      <c r="I443" s="23"/>
      <c r="J443" s="23"/>
      <c r="K443" s="23"/>
      <c r="L443" s="23"/>
      <c r="M443" s="23"/>
      <c r="N443" s="23"/>
      <c r="O443" s="23"/>
    </row>
    <row r="444">
      <c r="B444" s="23"/>
      <c r="C444" s="23"/>
      <c r="E444" s="24"/>
      <c r="G444" s="23"/>
      <c r="H444" s="23"/>
      <c r="I444" s="23"/>
      <c r="J444" s="23"/>
      <c r="K444" s="23"/>
      <c r="L444" s="23"/>
      <c r="M444" s="23"/>
      <c r="N444" s="23"/>
      <c r="O444" s="23"/>
    </row>
    <row r="445">
      <c r="B445" s="23"/>
      <c r="C445" s="23"/>
      <c r="E445" s="24"/>
      <c r="G445" s="23"/>
      <c r="H445" s="23"/>
      <c r="I445" s="23"/>
      <c r="J445" s="23"/>
      <c r="K445" s="23"/>
      <c r="L445" s="23"/>
      <c r="M445" s="23"/>
      <c r="N445" s="23"/>
      <c r="O445" s="23"/>
    </row>
    <row r="446">
      <c r="B446" s="23"/>
      <c r="C446" s="23"/>
      <c r="E446" s="24"/>
      <c r="G446" s="23"/>
      <c r="H446" s="23"/>
      <c r="I446" s="23"/>
      <c r="J446" s="23"/>
      <c r="K446" s="23"/>
      <c r="L446" s="23"/>
      <c r="M446" s="23"/>
      <c r="N446" s="23"/>
      <c r="O446" s="23"/>
    </row>
    <row r="447">
      <c r="B447" s="23"/>
      <c r="C447" s="23"/>
      <c r="E447" s="24"/>
      <c r="G447" s="23"/>
      <c r="H447" s="23"/>
      <c r="I447" s="23"/>
      <c r="J447" s="23"/>
      <c r="K447" s="23"/>
      <c r="L447" s="23"/>
      <c r="M447" s="23"/>
      <c r="N447" s="23"/>
      <c r="O447" s="23"/>
    </row>
    <row r="448">
      <c r="B448" s="23"/>
      <c r="C448" s="23"/>
      <c r="E448" s="24"/>
      <c r="G448" s="23"/>
      <c r="H448" s="23"/>
      <c r="I448" s="23"/>
      <c r="J448" s="23"/>
      <c r="K448" s="23"/>
      <c r="L448" s="23"/>
      <c r="M448" s="23"/>
      <c r="N448" s="23"/>
      <c r="O448" s="23"/>
    </row>
    <row r="449">
      <c r="B449" s="23"/>
      <c r="C449" s="23"/>
      <c r="E449" s="24"/>
      <c r="G449" s="23"/>
      <c r="H449" s="23"/>
      <c r="I449" s="23"/>
      <c r="J449" s="23"/>
      <c r="K449" s="23"/>
      <c r="L449" s="23"/>
      <c r="M449" s="23"/>
      <c r="N449" s="23"/>
      <c r="O449" s="23"/>
    </row>
    <row r="450">
      <c r="B450" s="23"/>
      <c r="C450" s="23"/>
      <c r="E450" s="24"/>
      <c r="G450" s="23"/>
      <c r="H450" s="23"/>
      <c r="I450" s="23"/>
      <c r="J450" s="23"/>
      <c r="K450" s="23"/>
      <c r="L450" s="23"/>
      <c r="M450" s="23"/>
      <c r="N450" s="23"/>
      <c r="O450" s="23"/>
    </row>
    <row r="451">
      <c r="B451" s="23"/>
      <c r="C451" s="23"/>
      <c r="E451" s="24"/>
      <c r="G451" s="23"/>
      <c r="H451" s="23"/>
      <c r="I451" s="23"/>
      <c r="J451" s="23"/>
      <c r="K451" s="23"/>
      <c r="L451" s="23"/>
      <c r="M451" s="23"/>
      <c r="N451" s="23"/>
      <c r="O451" s="23"/>
    </row>
    <row r="452">
      <c r="B452" s="23"/>
      <c r="C452" s="23"/>
      <c r="E452" s="24"/>
      <c r="G452" s="23"/>
      <c r="H452" s="23"/>
      <c r="I452" s="23"/>
      <c r="J452" s="23"/>
      <c r="K452" s="23"/>
      <c r="L452" s="23"/>
      <c r="M452" s="23"/>
      <c r="N452" s="23"/>
      <c r="O452" s="23"/>
    </row>
    <row r="453">
      <c r="B453" s="23"/>
      <c r="C453" s="23"/>
      <c r="E453" s="24"/>
      <c r="G453" s="23"/>
      <c r="H453" s="23"/>
      <c r="I453" s="23"/>
      <c r="J453" s="23"/>
      <c r="K453" s="23"/>
      <c r="L453" s="23"/>
      <c r="M453" s="23"/>
      <c r="N453" s="23"/>
      <c r="O453" s="23"/>
    </row>
    <row r="454">
      <c r="B454" s="23"/>
      <c r="C454" s="23"/>
      <c r="E454" s="24"/>
      <c r="G454" s="23"/>
      <c r="H454" s="23"/>
      <c r="I454" s="23"/>
      <c r="J454" s="23"/>
      <c r="K454" s="23"/>
      <c r="L454" s="23"/>
      <c r="M454" s="23"/>
      <c r="N454" s="23"/>
      <c r="O454" s="23"/>
    </row>
    <row r="455">
      <c r="B455" s="23"/>
      <c r="C455" s="23"/>
      <c r="E455" s="24"/>
      <c r="G455" s="23"/>
      <c r="H455" s="23"/>
      <c r="I455" s="23"/>
      <c r="J455" s="23"/>
      <c r="K455" s="23"/>
      <c r="L455" s="23"/>
      <c r="M455" s="23"/>
      <c r="N455" s="23"/>
      <c r="O455" s="23"/>
    </row>
    <row r="456">
      <c r="B456" s="23"/>
      <c r="C456" s="23"/>
      <c r="E456" s="24"/>
      <c r="G456" s="23"/>
      <c r="H456" s="23"/>
      <c r="I456" s="23"/>
      <c r="J456" s="23"/>
      <c r="K456" s="23"/>
      <c r="L456" s="23"/>
      <c r="M456" s="23"/>
      <c r="N456" s="23"/>
      <c r="O456" s="23"/>
    </row>
    <row r="457">
      <c r="B457" s="23"/>
      <c r="C457" s="23"/>
      <c r="E457" s="24"/>
      <c r="G457" s="23"/>
      <c r="H457" s="23"/>
      <c r="I457" s="23"/>
      <c r="J457" s="23"/>
      <c r="K457" s="23"/>
      <c r="L457" s="23"/>
      <c r="M457" s="23"/>
      <c r="N457" s="23"/>
      <c r="O457" s="23"/>
    </row>
    <row r="458">
      <c r="B458" s="23"/>
      <c r="C458" s="23"/>
      <c r="E458" s="24"/>
      <c r="G458" s="23"/>
      <c r="H458" s="23"/>
      <c r="I458" s="23"/>
      <c r="J458" s="23"/>
      <c r="K458" s="23"/>
      <c r="L458" s="23"/>
      <c r="M458" s="23"/>
      <c r="N458" s="23"/>
      <c r="O458" s="23"/>
    </row>
    <row r="459">
      <c r="B459" s="23"/>
      <c r="C459" s="23"/>
      <c r="E459" s="24"/>
      <c r="G459" s="23"/>
      <c r="H459" s="23"/>
      <c r="I459" s="23"/>
      <c r="J459" s="23"/>
      <c r="K459" s="23"/>
      <c r="L459" s="23"/>
      <c r="M459" s="23"/>
      <c r="N459" s="23"/>
      <c r="O459" s="23"/>
    </row>
    <row r="460">
      <c r="B460" s="23"/>
      <c r="C460" s="23"/>
      <c r="E460" s="24"/>
      <c r="G460" s="23"/>
      <c r="H460" s="23"/>
      <c r="I460" s="23"/>
      <c r="J460" s="23"/>
      <c r="K460" s="23"/>
      <c r="L460" s="23"/>
      <c r="M460" s="23"/>
      <c r="N460" s="23"/>
      <c r="O460" s="23"/>
    </row>
    <row r="461">
      <c r="B461" s="23"/>
      <c r="C461" s="23"/>
      <c r="E461" s="24"/>
      <c r="G461" s="23"/>
      <c r="H461" s="23"/>
      <c r="I461" s="23"/>
      <c r="J461" s="23"/>
      <c r="K461" s="23"/>
      <c r="L461" s="23"/>
      <c r="M461" s="23"/>
      <c r="N461" s="23"/>
      <c r="O461" s="23"/>
    </row>
    <row r="462">
      <c r="B462" s="23"/>
      <c r="C462" s="23"/>
      <c r="E462" s="24"/>
      <c r="G462" s="23"/>
      <c r="H462" s="23"/>
      <c r="I462" s="23"/>
      <c r="J462" s="23"/>
      <c r="K462" s="23"/>
      <c r="L462" s="23"/>
      <c r="M462" s="23"/>
      <c r="N462" s="23"/>
      <c r="O462" s="23"/>
    </row>
    <row r="463">
      <c r="B463" s="23"/>
      <c r="C463" s="23"/>
      <c r="E463" s="24"/>
      <c r="G463" s="23"/>
      <c r="H463" s="23"/>
      <c r="I463" s="23"/>
      <c r="J463" s="23"/>
      <c r="K463" s="23"/>
      <c r="L463" s="23"/>
      <c r="M463" s="23"/>
      <c r="N463" s="23"/>
      <c r="O463" s="23"/>
    </row>
    <row r="464">
      <c r="B464" s="23"/>
      <c r="C464" s="23"/>
      <c r="E464" s="24"/>
      <c r="G464" s="23"/>
      <c r="H464" s="23"/>
      <c r="I464" s="23"/>
      <c r="J464" s="23"/>
      <c r="K464" s="23"/>
      <c r="L464" s="23"/>
      <c r="M464" s="23"/>
      <c r="N464" s="23"/>
      <c r="O464" s="23"/>
    </row>
    <row r="465">
      <c r="B465" s="23"/>
      <c r="C465" s="23"/>
      <c r="E465" s="24"/>
      <c r="G465" s="23"/>
      <c r="H465" s="23"/>
      <c r="I465" s="23"/>
      <c r="J465" s="23"/>
      <c r="K465" s="23"/>
      <c r="L465" s="23"/>
      <c r="M465" s="23"/>
      <c r="N465" s="23"/>
      <c r="O465" s="23"/>
    </row>
    <row r="466">
      <c r="B466" s="23"/>
      <c r="C466" s="23"/>
      <c r="E466" s="24"/>
      <c r="G466" s="23"/>
      <c r="H466" s="23"/>
      <c r="I466" s="23"/>
      <c r="J466" s="23"/>
      <c r="K466" s="23"/>
      <c r="L466" s="23"/>
      <c r="M466" s="23"/>
      <c r="N466" s="23"/>
      <c r="O466" s="23"/>
    </row>
    <row r="467">
      <c r="B467" s="23"/>
      <c r="C467" s="23"/>
      <c r="E467" s="24"/>
      <c r="G467" s="23"/>
      <c r="H467" s="23"/>
      <c r="I467" s="23"/>
      <c r="J467" s="23"/>
      <c r="K467" s="23"/>
      <c r="L467" s="23"/>
      <c r="M467" s="23"/>
      <c r="N467" s="23"/>
      <c r="O467" s="23"/>
    </row>
    <row r="468">
      <c r="B468" s="23"/>
      <c r="C468" s="23"/>
      <c r="E468" s="24"/>
      <c r="G468" s="23"/>
      <c r="H468" s="23"/>
      <c r="I468" s="23"/>
      <c r="J468" s="23"/>
      <c r="K468" s="23"/>
      <c r="L468" s="23"/>
      <c r="M468" s="23"/>
      <c r="N468" s="23"/>
      <c r="O468" s="23"/>
    </row>
    <row r="469">
      <c r="B469" s="23"/>
      <c r="C469" s="23"/>
      <c r="E469" s="24"/>
      <c r="G469" s="23"/>
      <c r="H469" s="23"/>
      <c r="I469" s="23"/>
      <c r="J469" s="23"/>
      <c r="K469" s="23"/>
      <c r="L469" s="23"/>
      <c r="M469" s="23"/>
      <c r="N469" s="23"/>
      <c r="O469" s="23"/>
    </row>
    <row r="470">
      <c r="B470" s="23"/>
      <c r="C470" s="23"/>
      <c r="E470" s="24"/>
      <c r="G470" s="23"/>
      <c r="H470" s="23"/>
      <c r="I470" s="23"/>
      <c r="J470" s="23"/>
      <c r="K470" s="23"/>
      <c r="L470" s="23"/>
      <c r="M470" s="23"/>
      <c r="N470" s="23"/>
      <c r="O470" s="23"/>
    </row>
    <row r="471">
      <c r="B471" s="23"/>
      <c r="C471" s="23"/>
      <c r="E471" s="24"/>
      <c r="G471" s="23"/>
      <c r="H471" s="23"/>
      <c r="I471" s="23"/>
      <c r="J471" s="23"/>
      <c r="K471" s="23"/>
      <c r="L471" s="23"/>
      <c r="M471" s="23"/>
      <c r="N471" s="23"/>
      <c r="O471" s="23"/>
    </row>
    <row r="472">
      <c r="B472" s="23"/>
      <c r="C472" s="23"/>
      <c r="E472" s="24"/>
      <c r="G472" s="23"/>
      <c r="H472" s="23"/>
      <c r="I472" s="23"/>
      <c r="J472" s="23"/>
      <c r="K472" s="23"/>
      <c r="L472" s="23"/>
      <c r="M472" s="23"/>
      <c r="N472" s="23"/>
      <c r="O472" s="23"/>
    </row>
    <row r="473">
      <c r="B473" s="23"/>
      <c r="C473" s="23"/>
      <c r="E473" s="24"/>
      <c r="G473" s="23"/>
      <c r="H473" s="23"/>
      <c r="I473" s="23"/>
      <c r="J473" s="23"/>
      <c r="K473" s="23"/>
      <c r="L473" s="23"/>
      <c r="M473" s="23"/>
      <c r="N473" s="23"/>
      <c r="O473" s="23"/>
    </row>
    <row r="474">
      <c r="B474" s="23"/>
      <c r="C474" s="23"/>
      <c r="E474" s="24"/>
      <c r="G474" s="23"/>
      <c r="H474" s="23"/>
      <c r="I474" s="23"/>
      <c r="J474" s="23"/>
      <c r="K474" s="23"/>
      <c r="L474" s="23"/>
      <c r="M474" s="23"/>
      <c r="N474" s="23"/>
      <c r="O474" s="23"/>
    </row>
    <row r="475">
      <c r="B475" s="23"/>
      <c r="C475" s="23"/>
      <c r="E475" s="24"/>
      <c r="G475" s="23"/>
      <c r="H475" s="23"/>
      <c r="I475" s="23"/>
      <c r="J475" s="23"/>
      <c r="K475" s="23"/>
      <c r="L475" s="23"/>
      <c r="M475" s="23"/>
      <c r="N475" s="23"/>
      <c r="O475" s="23"/>
    </row>
    <row r="476">
      <c r="B476" s="23"/>
      <c r="C476" s="23"/>
      <c r="E476" s="24"/>
      <c r="G476" s="23"/>
      <c r="H476" s="23"/>
      <c r="I476" s="23"/>
      <c r="J476" s="23"/>
      <c r="K476" s="23"/>
      <c r="L476" s="23"/>
      <c r="M476" s="23"/>
      <c r="N476" s="23"/>
      <c r="O476" s="23"/>
    </row>
    <row r="477">
      <c r="B477" s="23"/>
      <c r="C477" s="23"/>
      <c r="E477" s="24"/>
      <c r="G477" s="23"/>
      <c r="H477" s="23"/>
      <c r="I477" s="23"/>
      <c r="J477" s="23"/>
      <c r="K477" s="23"/>
      <c r="L477" s="23"/>
      <c r="M477" s="23"/>
      <c r="N477" s="23"/>
      <c r="O477" s="23"/>
    </row>
    <row r="478">
      <c r="B478" s="23"/>
      <c r="C478" s="23"/>
      <c r="E478" s="24"/>
      <c r="G478" s="23"/>
      <c r="H478" s="23"/>
      <c r="I478" s="23"/>
      <c r="J478" s="23"/>
      <c r="K478" s="23"/>
      <c r="L478" s="23"/>
      <c r="M478" s="23"/>
      <c r="N478" s="23"/>
      <c r="O478" s="23"/>
    </row>
    <row r="479">
      <c r="B479" s="23"/>
      <c r="C479" s="23"/>
      <c r="E479" s="24"/>
      <c r="G479" s="23"/>
      <c r="H479" s="23"/>
      <c r="I479" s="23"/>
      <c r="J479" s="23"/>
      <c r="K479" s="23"/>
      <c r="L479" s="23"/>
      <c r="M479" s="23"/>
      <c r="N479" s="23"/>
      <c r="O479" s="23"/>
    </row>
    <row r="480">
      <c r="B480" s="23"/>
      <c r="C480" s="23"/>
      <c r="E480" s="24"/>
      <c r="G480" s="23"/>
      <c r="H480" s="23"/>
      <c r="I480" s="23"/>
      <c r="J480" s="23"/>
      <c r="K480" s="23"/>
      <c r="L480" s="23"/>
      <c r="M480" s="23"/>
      <c r="N480" s="23"/>
      <c r="O480" s="23"/>
    </row>
    <row r="481">
      <c r="B481" s="23"/>
      <c r="C481" s="23"/>
      <c r="E481" s="24"/>
      <c r="G481" s="23"/>
      <c r="H481" s="23"/>
      <c r="I481" s="23"/>
      <c r="J481" s="23"/>
      <c r="K481" s="23"/>
      <c r="L481" s="23"/>
      <c r="M481" s="23"/>
      <c r="N481" s="23"/>
      <c r="O481" s="23"/>
    </row>
    <row r="482">
      <c r="B482" s="23"/>
      <c r="C482" s="23"/>
      <c r="E482" s="24"/>
      <c r="G482" s="23"/>
      <c r="H482" s="23"/>
      <c r="I482" s="23"/>
      <c r="J482" s="23"/>
      <c r="K482" s="23"/>
      <c r="L482" s="23"/>
      <c r="M482" s="23"/>
      <c r="N482" s="23"/>
      <c r="O482" s="23"/>
    </row>
    <row r="483">
      <c r="B483" s="23"/>
      <c r="C483" s="23"/>
      <c r="E483" s="24"/>
      <c r="G483" s="23"/>
      <c r="H483" s="23"/>
      <c r="I483" s="23"/>
      <c r="J483" s="23"/>
      <c r="K483" s="23"/>
      <c r="L483" s="23"/>
      <c r="M483" s="23"/>
      <c r="N483" s="23"/>
      <c r="O483" s="23"/>
    </row>
    <row r="484">
      <c r="B484" s="23"/>
      <c r="C484" s="23"/>
      <c r="E484" s="24"/>
      <c r="G484" s="23"/>
      <c r="H484" s="23"/>
      <c r="I484" s="23"/>
      <c r="J484" s="23"/>
      <c r="K484" s="23"/>
      <c r="L484" s="23"/>
      <c r="M484" s="23"/>
      <c r="N484" s="23"/>
      <c r="O484" s="23"/>
    </row>
    <row r="485">
      <c r="B485" s="23"/>
      <c r="C485" s="23"/>
      <c r="E485" s="24"/>
      <c r="G485" s="23"/>
      <c r="H485" s="23"/>
      <c r="I485" s="23"/>
      <c r="J485" s="23"/>
      <c r="K485" s="23"/>
      <c r="L485" s="23"/>
      <c r="M485" s="23"/>
      <c r="N485" s="23"/>
      <c r="O485" s="23"/>
    </row>
    <row r="486">
      <c r="B486" s="23"/>
      <c r="C486" s="23"/>
      <c r="E486" s="24"/>
      <c r="G486" s="23"/>
      <c r="H486" s="23"/>
      <c r="I486" s="23"/>
      <c r="J486" s="23"/>
      <c r="K486" s="23"/>
      <c r="L486" s="23"/>
      <c r="M486" s="23"/>
      <c r="N486" s="23"/>
      <c r="O486" s="23"/>
    </row>
    <row r="487">
      <c r="B487" s="23"/>
      <c r="C487" s="23"/>
      <c r="E487" s="24"/>
      <c r="G487" s="23"/>
      <c r="H487" s="23"/>
      <c r="I487" s="23"/>
      <c r="J487" s="23"/>
      <c r="K487" s="23"/>
      <c r="L487" s="23"/>
      <c r="M487" s="23"/>
      <c r="N487" s="23"/>
      <c r="O487" s="23"/>
    </row>
    <row r="488">
      <c r="B488" s="23"/>
      <c r="C488" s="23"/>
      <c r="E488" s="24"/>
      <c r="G488" s="23"/>
      <c r="H488" s="23"/>
      <c r="I488" s="23"/>
      <c r="J488" s="23"/>
      <c r="K488" s="23"/>
      <c r="L488" s="23"/>
      <c r="M488" s="23"/>
      <c r="N488" s="23"/>
      <c r="O488" s="23"/>
    </row>
    <row r="489">
      <c r="B489" s="23"/>
      <c r="C489" s="23"/>
      <c r="E489" s="24"/>
      <c r="G489" s="23"/>
      <c r="H489" s="23"/>
      <c r="I489" s="23"/>
      <c r="J489" s="23"/>
      <c r="K489" s="23"/>
      <c r="L489" s="23"/>
      <c r="M489" s="23"/>
      <c r="N489" s="23"/>
      <c r="O489" s="23"/>
    </row>
    <row r="490">
      <c r="B490" s="23"/>
      <c r="C490" s="23"/>
      <c r="E490" s="24"/>
      <c r="G490" s="23"/>
      <c r="H490" s="23"/>
      <c r="I490" s="23"/>
      <c r="J490" s="23"/>
      <c r="K490" s="23"/>
      <c r="L490" s="23"/>
      <c r="M490" s="23"/>
      <c r="N490" s="23"/>
      <c r="O490" s="23"/>
    </row>
    <row r="491">
      <c r="B491" s="23"/>
      <c r="C491" s="23"/>
      <c r="E491" s="24"/>
      <c r="G491" s="23"/>
      <c r="H491" s="23"/>
      <c r="I491" s="23"/>
      <c r="J491" s="23"/>
      <c r="K491" s="23"/>
      <c r="L491" s="23"/>
      <c r="M491" s="23"/>
      <c r="N491" s="23"/>
      <c r="O491" s="23"/>
    </row>
    <row r="492">
      <c r="B492" s="23"/>
      <c r="C492" s="23"/>
      <c r="E492" s="24"/>
      <c r="G492" s="23"/>
      <c r="H492" s="23"/>
      <c r="I492" s="23"/>
      <c r="J492" s="23"/>
      <c r="K492" s="23"/>
      <c r="L492" s="23"/>
      <c r="M492" s="23"/>
      <c r="N492" s="23"/>
      <c r="O492" s="23"/>
    </row>
    <row r="493">
      <c r="B493" s="23"/>
      <c r="C493" s="23"/>
      <c r="E493" s="24"/>
      <c r="G493" s="23"/>
      <c r="H493" s="23"/>
      <c r="I493" s="23"/>
      <c r="J493" s="23"/>
      <c r="K493" s="23"/>
      <c r="L493" s="23"/>
      <c r="M493" s="23"/>
      <c r="N493" s="23"/>
      <c r="O493" s="23"/>
    </row>
    <row r="494">
      <c r="B494" s="23"/>
      <c r="C494" s="23"/>
      <c r="E494" s="24"/>
      <c r="G494" s="23"/>
      <c r="H494" s="23"/>
      <c r="I494" s="23"/>
      <c r="J494" s="23"/>
      <c r="K494" s="23"/>
      <c r="L494" s="23"/>
      <c r="M494" s="23"/>
      <c r="N494" s="23"/>
      <c r="O494" s="23"/>
    </row>
    <row r="495">
      <c r="B495" s="23"/>
      <c r="C495" s="23"/>
      <c r="E495" s="24"/>
      <c r="G495" s="23"/>
      <c r="H495" s="23"/>
      <c r="I495" s="23"/>
      <c r="J495" s="23"/>
      <c r="K495" s="23"/>
      <c r="L495" s="23"/>
      <c r="M495" s="23"/>
      <c r="N495" s="23"/>
      <c r="O495" s="23"/>
    </row>
    <row r="496">
      <c r="B496" s="23"/>
      <c r="C496" s="23"/>
      <c r="E496" s="24"/>
      <c r="G496" s="23"/>
      <c r="H496" s="23"/>
      <c r="I496" s="23"/>
      <c r="J496" s="23"/>
      <c r="K496" s="23"/>
      <c r="L496" s="23"/>
      <c r="M496" s="23"/>
      <c r="N496" s="23"/>
      <c r="O496" s="23"/>
    </row>
    <row r="497">
      <c r="B497" s="23"/>
      <c r="C497" s="23"/>
      <c r="E497" s="24"/>
      <c r="G497" s="23"/>
      <c r="H497" s="23"/>
      <c r="I497" s="23"/>
      <c r="J497" s="23"/>
      <c r="K497" s="23"/>
      <c r="L497" s="23"/>
      <c r="M497" s="23"/>
      <c r="N497" s="23"/>
      <c r="O497" s="23"/>
    </row>
    <row r="498">
      <c r="B498" s="23"/>
      <c r="C498" s="23"/>
      <c r="E498" s="24"/>
      <c r="G498" s="23"/>
      <c r="H498" s="23"/>
      <c r="I498" s="23"/>
      <c r="J498" s="23"/>
      <c r="K498" s="23"/>
      <c r="L498" s="23"/>
      <c r="M498" s="23"/>
      <c r="N498" s="23"/>
      <c r="O498" s="23"/>
    </row>
    <row r="499">
      <c r="B499" s="23"/>
      <c r="C499" s="23"/>
      <c r="E499" s="24"/>
      <c r="G499" s="23"/>
      <c r="H499" s="23"/>
      <c r="I499" s="23"/>
      <c r="J499" s="23"/>
      <c r="K499" s="23"/>
      <c r="L499" s="23"/>
      <c r="M499" s="23"/>
      <c r="N499" s="23"/>
      <c r="O499" s="23"/>
    </row>
    <row r="500">
      <c r="B500" s="23"/>
      <c r="C500" s="23"/>
      <c r="E500" s="24"/>
      <c r="G500" s="23"/>
      <c r="H500" s="23"/>
      <c r="I500" s="23"/>
      <c r="J500" s="23"/>
      <c r="K500" s="23"/>
      <c r="L500" s="23"/>
      <c r="M500" s="23"/>
      <c r="N500" s="23"/>
      <c r="O500" s="23"/>
    </row>
    <row r="501">
      <c r="B501" s="23"/>
      <c r="C501" s="23"/>
      <c r="E501" s="24"/>
      <c r="G501" s="23"/>
      <c r="H501" s="23"/>
      <c r="I501" s="23"/>
      <c r="J501" s="23"/>
      <c r="K501" s="23"/>
      <c r="L501" s="23"/>
      <c r="M501" s="23"/>
      <c r="N501" s="23"/>
      <c r="O501" s="23"/>
    </row>
    <row r="502">
      <c r="B502" s="23"/>
      <c r="C502" s="23"/>
      <c r="E502" s="24"/>
      <c r="G502" s="23"/>
      <c r="H502" s="23"/>
      <c r="I502" s="23"/>
      <c r="J502" s="23"/>
      <c r="K502" s="23"/>
      <c r="L502" s="23"/>
      <c r="M502" s="23"/>
      <c r="N502" s="23"/>
      <c r="O502" s="23"/>
    </row>
    <row r="503">
      <c r="B503" s="23"/>
      <c r="C503" s="23"/>
      <c r="E503" s="24"/>
      <c r="G503" s="23"/>
      <c r="H503" s="23"/>
      <c r="I503" s="23"/>
      <c r="J503" s="23"/>
      <c r="K503" s="23"/>
      <c r="L503" s="23"/>
      <c r="M503" s="23"/>
      <c r="N503" s="23"/>
      <c r="O503" s="23"/>
    </row>
    <row r="504">
      <c r="B504" s="23"/>
      <c r="C504" s="23"/>
      <c r="E504" s="24"/>
      <c r="G504" s="23"/>
      <c r="H504" s="23"/>
      <c r="I504" s="23"/>
      <c r="J504" s="23"/>
      <c r="K504" s="23"/>
      <c r="L504" s="23"/>
      <c r="M504" s="23"/>
      <c r="N504" s="23"/>
      <c r="O504" s="23"/>
    </row>
    <row r="505">
      <c r="B505" s="23"/>
      <c r="C505" s="23"/>
      <c r="E505" s="24"/>
      <c r="G505" s="23"/>
      <c r="H505" s="23"/>
      <c r="I505" s="23"/>
      <c r="J505" s="23"/>
      <c r="K505" s="23"/>
      <c r="L505" s="23"/>
      <c r="M505" s="23"/>
      <c r="N505" s="23"/>
      <c r="O505" s="23"/>
    </row>
    <row r="506">
      <c r="B506" s="23"/>
      <c r="C506" s="23"/>
      <c r="E506" s="24"/>
      <c r="G506" s="23"/>
      <c r="H506" s="23"/>
      <c r="I506" s="23"/>
      <c r="J506" s="23"/>
      <c r="K506" s="23"/>
      <c r="L506" s="23"/>
      <c r="M506" s="23"/>
      <c r="N506" s="23"/>
      <c r="O506" s="23"/>
    </row>
    <row r="507">
      <c r="B507" s="23"/>
      <c r="C507" s="23"/>
      <c r="E507" s="24"/>
      <c r="G507" s="23"/>
      <c r="H507" s="23"/>
      <c r="I507" s="23"/>
      <c r="J507" s="23"/>
      <c r="K507" s="23"/>
      <c r="L507" s="23"/>
      <c r="M507" s="23"/>
      <c r="N507" s="23"/>
      <c r="O507" s="23"/>
    </row>
    <row r="508">
      <c r="B508" s="23"/>
      <c r="C508" s="23"/>
      <c r="E508" s="24"/>
      <c r="G508" s="23"/>
      <c r="H508" s="23"/>
      <c r="I508" s="23"/>
      <c r="J508" s="23"/>
      <c r="K508" s="23"/>
      <c r="L508" s="23"/>
      <c r="M508" s="23"/>
      <c r="N508" s="23"/>
      <c r="O508" s="23"/>
    </row>
    <row r="509">
      <c r="B509" s="23"/>
      <c r="C509" s="23"/>
      <c r="E509" s="24"/>
      <c r="G509" s="23"/>
      <c r="H509" s="23"/>
      <c r="I509" s="23"/>
      <c r="J509" s="23"/>
      <c r="K509" s="23"/>
      <c r="L509" s="23"/>
      <c r="M509" s="23"/>
      <c r="N509" s="23"/>
      <c r="O509" s="23"/>
    </row>
    <row r="510">
      <c r="B510" s="23"/>
      <c r="C510" s="23"/>
      <c r="E510" s="24"/>
      <c r="G510" s="23"/>
      <c r="H510" s="23"/>
      <c r="I510" s="23"/>
      <c r="J510" s="23"/>
      <c r="K510" s="23"/>
      <c r="L510" s="23"/>
      <c r="M510" s="23"/>
      <c r="N510" s="23"/>
      <c r="O510" s="23"/>
    </row>
    <row r="511">
      <c r="B511" s="23"/>
      <c r="C511" s="23"/>
      <c r="E511" s="24"/>
      <c r="G511" s="23"/>
      <c r="H511" s="23"/>
      <c r="I511" s="23"/>
      <c r="J511" s="23"/>
      <c r="K511" s="23"/>
      <c r="L511" s="23"/>
      <c r="M511" s="23"/>
      <c r="N511" s="23"/>
      <c r="O511" s="23"/>
    </row>
    <row r="512">
      <c r="B512" s="23"/>
      <c r="C512" s="23"/>
      <c r="E512" s="24"/>
      <c r="G512" s="23"/>
      <c r="H512" s="23"/>
      <c r="I512" s="23"/>
      <c r="J512" s="23"/>
      <c r="K512" s="23"/>
      <c r="L512" s="23"/>
      <c r="M512" s="23"/>
      <c r="N512" s="23"/>
      <c r="O512" s="23"/>
    </row>
    <row r="513">
      <c r="B513" s="23"/>
      <c r="C513" s="23"/>
      <c r="E513" s="24"/>
      <c r="G513" s="23"/>
      <c r="H513" s="23"/>
      <c r="I513" s="23"/>
      <c r="J513" s="23"/>
      <c r="K513" s="23"/>
      <c r="L513" s="23"/>
      <c r="M513" s="23"/>
      <c r="N513" s="23"/>
      <c r="O513" s="23"/>
    </row>
    <row r="514">
      <c r="B514" s="23"/>
      <c r="C514" s="23"/>
      <c r="E514" s="24"/>
      <c r="G514" s="23"/>
      <c r="H514" s="23"/>
      <c r="I514" s="23"/>
      <c r="J514" s="23"/>
      <c r="K514" s="23"/>
      <c r="L514" s="23"/>
      <c r="M514" s="23"/>
      <c r="N514" s="23"/>
      <c r="O514" s="23"/>
    </row>
    <row r="515">
      <c r="B515" s="23"/>
      <c r="C515" s="23"/>
      <c r="E515" s="24"/>
      <c r="G515" s="23"/>
      <c r="H515" s="23"/>
      <c r="I515" s="23"/>
      <c r="J515" s="23"/>
      <c r="K515" s="23"/>
      <c r="L515" s="23"/>
      <c r="M515" s="23"/>
      <c r="N515" s="23"/>
      <c r="O515" s="23"/>
    </row>
    <row r="516">
      <c r="B516" s="23"/>
      <c r="C516" s="23"/>
      <c r="E516" s="24"/>
      <c r="G516" s="23"/>
      <c r="H516" s="23"/>
      <c r="I516" s="23"/>
      <c r="J516" s="23"/>
      <c r="K516" s="23"/>
      <c r="L516" s="23"/>
      <c r="M516" s="23"/>
      <c r="N516" s="23"/>
      <c r="O516" s="23"/>
    </row>
    <row r="517">
      <c r="B517" s="23"/>
      <c r="C517" s="23"/>
      <c r="E517" s="24"/>
      <c r="G517" s="23"/>
      <c r="H517" s="23"/>
      <c r="I517" s="23"/>
      <c r="J517" s="23"/>
      <c r="K517" s="23"/>
      <c r="L517" s="23"/>
      <c r="M517" s="23"/>
      <c r="N517" s="23"/>
      <c r="O517" s="23"/>
    </row>
    <row r="518">
      <c r="B518" s="23"/>
      <c r="C518" s="23"/>
      <c r="E518" s="24"/>
      <c r="G518" s="23"/>
      <c r="H518" s="23"/>
      <c r="I518" s="23"/>
      <c r="J518" s="23"/>
      <c r="K518" s="23"/>
      <c r="L518" s="23"/>
      <c r="M518" s="23"/>
      <c r="N518" s="23"/>
      <c r="O518" s="23"/>
    </row>
    <row r="519">
      <c r="B519" s="23"/>
      <c r="C519" s="23"/>
      <c r="E519" s="24"/>
      <c r="G519" s="23"/>
      <c r="H519" s="23"/>
      <c r="I519" s="23"/>
      <c r="J519" s="23"/>
      <c r="K519" s="23"/>
      <c r="L519" s="23"/>
      <c r="M519" s="23"/>
      <c r="N519" s="23"/>
      <c r="O519" s="23"/>
    </row>
    <row r="520">
      <c r="B520" s="23"/>
      <c r="C520" s="23"/>
      <c r="E520" s="24"/>
      <c r="G520" s="23"/>
      <c r="H520" s="23"/>
      <c r="I520" s="23"/>
      <c r="J520" s="23"/>
      <c r="K520" s="23"/>
      <c r="L520" s="23"/>
      <c r="M520" s="23"/>
      <c r="N520" s="23"/>
      <c r="O520" s="23"/>
    </row>
    <row r="521">
      <c r="B521" s="23"/>
      <c r="C521" s="23"/>
      <c r="E521" s="24"/>
      <c r="G521" s="23"/>
      <c r="H521" s="23"/>
      <c r="I521" s="23"/>
      <c r="J521" s="23"/>
      <c r="K521" s="23"/>
      <c r="L521" s="23"/>
      <c r="M521" s="23"/>
      <c r="N521" s="23"/>
      <c r="O521" s="23"/>
    </row>
    <row r="522">
      <c r="B522" s="23"/>
      <c r="C522" s="23"/>
      <c r="E522" s="24"/>
      <c r="G522" s="23"/>
      <c r="H522" s="23"/>
      <c r="I522" s="23"/>
      <c r="J522" s="23"/>
      <c r="K522" s="23"/>
      <c r="L522" s="23"/>
      <c r="M522" s="23"/>
      <c r="N522" s="23"/>
      <c r="O522" s="23"/>
    </row>
    <row r="523">
      <c r="B523" s="23"/>
      <c r="C523" s="23"/>
      <c r="E523" s="24"/>
      <c r="G523" s="23"/>
      <c r="H523" s="23"/>
      <c r="I523" s="23"/>
      <c r="J523" s="23"/>
      <c r="K523" s="23"/>
      <c r="L523" s="23"/>
      <c r="M523" s="23"/>
      <c r="N523" s="23"/>
      <c r="O523" s="23"/>
    </row>
    <row r="524">
      <c r="B524" s="23"/>
      <c r="C524" s="23"/>
      <c r="E524" s="24"/>
      <c r="G524" s="23"/>
      <c r="H524" s="23"/>
      <c r="I524" s="23"/>
      <c r="J524" s="23"/>
      <c r="K524" s="23"/>
      <c r="L524" s="23"/>
      <c r="M524" s="23"/>
      <c r="N524" s="23"/>
      <c r="O524" s="23"/>
    </row>
    <row r="525">
      <c r="B525" s="23"/>
      <c r="C525" s="23"/>
      <c r="E525" s="24"/>
      <c r="G525" s="23"/>
      <c r="H525" s="23"/>
      <c r="I525" s="23"/>
      <c r="J525" s="23"/>
      <c r="K525" s="23"/>
      <c r="L525" s="23"/>
      <c r="M525" s="23"/>
      <c r="N525" s="23"/>
      <c r="O525" s="23"/>
    </row>
    <row r="526">
      <c r="B526" s="23"/>
      <c r="C526" s="23"/>
      <c r="E526" s="24"/>
      <c r="G526" s="23"/>
      <c r="H526" s="23"/>
      <c r="I526" s="23"/>
      <c r="J526" s="23"/>
      <c r="K526" s="23"/>
      <c r="L526" s="23"/>
      <c r="M526" s="23"/>
      <c r="N526" s="23"/>
      <c r="O526" s="23"/>
    </row>
    <row r="527">
      <c r="B527" s="23"/>
      <c r="C527" s="23"/>
      <c r="E527" s="24"/>
      <c r="G527" s="23"/>
      <c r="H527" s="23"/>
      <c r="I527" s="23"/>
      <c r="J527" s="23"/>
      <c r="K527" s="23"/>
      <c r="L527" s="23"/>
      <c r="M527" s="23"/>
      <c r="N527" s="23"/>
      <c r="O527" s="23"/>
    </row>
    <row r="528">
      <c r="B528" s="23"/>
      <c r="C528" s="23"/>
      <c r="E528" s="24"/>
      <c r="G528" s="23"/>
      <c r="H528" s="23"/>
      <c r="I528" s="23"/>
      <c r="J528" s="23"/>
      <c r="K528" s="23"/>
      <c r="L528" s="23"/>
      <c r="M528" s="23"/>
      <c r="N528" s="23"/>
      <c r="O528" s="23"/>
    </row>
    <row r="529">
      <c r="B529" s="23"/>
      <c r="C529" s="23"/>
      <c r="E529" s="24"/>
      <c r="G529" s="23"/>
      <c r="H529" s="23"/>
      <c r="I529" s="23"/>
      <c r="J529" s="23"/>
      <c r="K529" s="23"/>
      <c r="L529" s="23"/>
      <c r="M529" s="23"/>
      <c r="N529" s="23"/>
      <c r="O529" s="23"/>
    </row>
    <row r="530">
      <c r="B530" s="23"/>
      <c r="C530" s="23"/>
      <c r="E530" s="24"/>
      <c r="G530" s="23"/>
      <c r="H530" s="23"/>
      <c r="I530" s="23"/>
      <c r="J530" s="23"/>
      <c r="K530" s="23"/>
      <c r="L530" s="23"/>
      <c r="M530" s="23"/>
      <c r="N530" s="23"/>
      <c r="O530" s="23"/>
    </row>
    <row r="531">
      <c r="B531" s="23"/>
      <c r="C531" s="23"/>
      <c r="E531" s="24"/>
      <c r="G531" s="23"/>
      <c r="H531" s="23"/>
      <c r="I531" s="23"/>
      <c r="J531" s="23"/>
      <c r="K531" s="23"/>
      <c r="L531" s="23"/>
      <c r="M531" s="23"/>
      <c r="N531" s="23"/>
      <c r="O531" s="23"/>
    </row>
    <row r="532">
      <c r="B532" s="23"/>
      <c r="C532" s="23"/>
      <c r="E532" s="24"/>
      <c r="G532" s="23"/>
      <c r="H532" s="23"/>
      <c r="I532" s="23"/>
      <c r="J532" s="23"/>
      <c r="K532" s="23"/>
      <c r="L532" s="23"/>
      <c r="M532" s="23"/>
      <c r="N532" s="23"/>
      <c r="O532" s="23"/>
    </row>
    <row r="533">
      <c r="B533" s="23"/>
      <c r="C533" s="23"/>
      <c r="E533" s="24"/>
      <c r="G533" s="23"/>
      <c r="H533" s="23"/>
      <c r="I533" s="23"/>
      <c r="J533" s="23"/>
      <c r="K533" s="23"/>
      <c r="L533" s="23"/>
      <c r="M533" s="23"/>
      <c r="N533" s="23"/>
      <c r="O533" s="23"/>
    </row>
    <row r="534">
      <c r="B534" s="23"/>
      <c r="C534" s="23"/>
      <c r="E534" s="24"/>
      <c r="G534" s="23"/>
      <c r="H534" s="23"/>
      <c r="I534" s="23"/>
      <c r="J534" s="23"/>
      <c r="K534" s="23"/>
      <c r="L534" s="23"/>
      <c r="M534" s="23"/>
      <c r="N534" s="23"/>
      <c r="O534" s="23"/>
    </row>
    <row r="535">
      <c r="B535" s="23"/>
      <c r="C535" s="23"/>
      <c r="E535" s="24"/>
      <c r="G535" s="23"/>
      <c r="H535" s="23"/>
      <c r="I535" s="23"/>
      <c r="J535" s="23"/>
      <c r="K535" s="23"/>
      <c r="L535" s="23"/>
      <c r="M535" s="23"/>
      <c r="N535" s="23"/>
      <c r="O535" s="23"/>
    </row>
    <row r="536">
      <c r="B536" s="23"/>
      <c r="C536" s="23"/>
      <c r="E536" s="24"/>
      <c r="G536" s="23"/>
      <c r="H536" s="23"/>
      <c r="I536" s="23"/>
      <c r="J536" s="23"/>
      <c r="K536" s="23"/>
      <c r="L536" s="23"/>
      <c r="M536" s="23"/>
      <c r="N536" s="23"/>
      <c r="O536" s="23"/>
    </row>
    <row r="537">
      <c r="B537" s="23"/>
      <c r="C537" s="23"/>
      <c r="E537" s="24"/>
      <c r="G537" s="23"/>
      <c r="H537" s="23"/>
      <c r="I537" s="23"/>
      <c r="J537" s="23"/>
      <c r="K537" s="23"/>
      <c r="L537" s="23"/>
      <c r="M537" s="23"/>
      <c r="N537" s="23"/>
      <c r="O537" s="23"/>
    </row>
    <row r="538">
      <c r="B538" s="23"/>
      <c r="C538" s="23"/>
      <c r="E538" s="24"/>
      <c r="G538" s="23"/>
      <c r="H538" s="23"/>
      <c r="I538" s="23"/>
      <c r="J538" s="23"/>
      <c r="K538" s="23"/>
      <c r="L538" s="23"/>
      <c r="M538" s="23"/>
      <c r="N538" s="23"/>
      <c r="O538" s="23"/>
    </row>
    <row r="539">
      <c r="B539" s="23"/>
      <c r="C539" s="23"/>
      <c r="E539" s="24"/>
      <c r="G539" s="23"/>
      <c r="H539" s="23"/>
      <c r="I539" s="23"/>
      <c r="J539" s="23"/>
      <c r="K539" s="23"/>
      <c r="L539" s="23"/>
      <c r="M539" s="23"/>
      <c r="N539" s="23"/>
      <c r="O539" s="23"/>
    </row>
    <row r="540">
      <c r="B540" s="23"/>
      <c r="C540" s="23"/>
      <c r="E540" s="24"/>
      <c r="G540" s="23"/>
      <c r="H540" s="23"/>
      <c r="I540" s="23"/>
      <c r="J540" s="23"/>
      <c r="K540" s="23"/>
      <c r="L540" s="23"/>
      <c r="M540" s="23"/>
      <c r="N540" s="23"/>
      <c r="O540" s="23"/>
    </row>
    <row r="541">
      <c r="B541" s="23"/>
      <c r="C541" s="23"/>
      <c r="E541" s="24"/>
      <c r="G541" s="23"/>
      <c r="H541" s="23"/>
      <c r="I541" s="23"/>
      <c r="J541" s="23"/>
      <c r="K541" s="23"/>
      <c r="L541" s="23"/>
      <c r="M541" s="23"/>
      <c r="N541" s="23"/>
      <c r="O541" s="23"/>
    </row>
    <row r="542">
      <c r="B542" s="23"/>
      <c r="C542" s="23"/>
      <c r="E542" s="24"/>
      <c r="G542" s="23"/>
      <c r="H542" s="23"/>
      <c r="I542" s="23"/>
      <c r="J542" s="23"/>
      <c r="K542" s="23"/>
      <c r="L542" s="23"/>
      <c r="M542" s="23"/>
      <c r="N542" s="23"/>
      <c r="O542" s="23"/>
    </row>
    <row r="543">
      <c r="B543" s="23"/>
      <c r="C543" s="23"/>
      <c r="E543" s="24"/>
      <c r="G543" s="23"/>
      <c r="H543" s="23"/>
      <c r="I543" s="23"/>
      <c r="J543" s="23"/>
      <c r="K543" s="23"/>
      <c r="L543" s="23"/>
      <c r="M543" s="23"/>
      <c r="N543" s="23"/>
      <c r="O543" s="23"/>
    </row>
    <row r="544">
      <c r="B544" s="23"/>
      <c r="C544" s="23"/>
      <c r="E544" s="24"/>
      <c r="G544" s="23"/>
      <c r="H544" s="23"/>
      <c r="I544" s="23"/>
      <c r="J544" s="23"/>
      <c r="K544" s="23"/>
      <c r="L544" s="23"/>
      <c r="M544" s="23"/>
      <c r="N544" s="23"/>
      <c r="O544" s="23"/>
    </row>
    <row r="545">
      <c r="B545" s="23"/>
      <c r="C545" s="23"/>
      <c r="E545" s="24"/>
      <c r="G545" s="23"/>
      <c r="H545" s="23"/>
      <c r="I545" s="23"/>
      <c r="J545" s="23"/>
      <c r="K545" s="23"/>
      <c r="L545" s="23"/>
      <c r="M545" s="23"/>
      <c r="N545" s="23"/>
      <c r="O545" s="23"/>
    </row>
    <row r="546">
      <c r="B546" s="23"/>
      <c r="C546" s="23"/>
      <c r="E546" s="24"/>
      <c r="G546" s="23"/>
      <c r="H546" s="23"/>
      <c r="I546" s="23"/>
      <c r="J546" s="23"/>
      <c r="K546" s="23"/>
      <c r="L546" s="23"/>
      <c r="M546" s="23"/>
      <c r="N546" s="23"/>
      <c r="O546" s="23"/>
    </row>
    <row r="547">
      <c r="B547" s="23"/>
      <c r="C547" s="23"/>
      <c r="E547" s="24"/>
      <c r="G547" s="23"/>
      <c r="H547" s="23"/>
      <c r="I547" s="23"/>
      <c r="J547" s="23"/>
      <c r="K547" s="23"/>
      <c r="L547" s="23"/>
      <c r="M547" s="23"/>
      <c r="N547" s="23"/>
      <c r="O547" s="23"/>
    </row>
    <row r="548">
      <c r="B548" s="23"/>
      <c r="C548" s="23"/>
      <c r="E548" s="24"/>
      <c r="G548" s="23"/>
      <c r="H548" s="23"/>
      <c r="I548" s="23"/>
      <c r="J548" s="23"/>
      <c r="K548" s="23"/>
      <c r="L548" s="23"/>
      <c r="M548" s="23"/>
      <c r="N548" s="23"/>
      <c r="O548" s="23"/>
    </row>
    <row r="549">
      <c r="B549" s="23"/>
      <c r="C549" s="23"/>
      <c r="E549" s="24"/>
      <c r="G549" s="23"/>
      <c r="H549" s="23"/>
      <c r="I549" s="23"/>
      <c r="J549" s="23"/>
      <c r="K549" s="23"/>
      <c r="L549" s="23"/>
      <c r="M549" s="23"/>
      <c r="N549" s="23"/>
      <c r="O549" s="23"/>
    </row>
    <row r="550">
      <c r="B550" s="23"/>
      <c r="C550" s="23"/>
      <c r="E550" s="24"/>
      <c r="G550" s="23"/>
      <c r="H550" s="23"/>
      <c r="I550" s="23"/>
      <c r="J550" s="23"/>
      <c r="K550" s="23"/>
      <c r="L550" s="23"/>
      <c r="M550" s="23"/>
      <c r="N550" s="23"/>
      <c r="O550" s="23"/>
    </row>
    <row r="551">
      <c r="B551" s="23"/>
      <c r="C551" s="23"/>
      <c r="E551" s="24"/>
      <c r="G551" s="23"/>
      <c r="H551" s="23"/>
      <c r="I551" s="23"/>
      <c r="J551" s="23"/>
      <c r="K551" s="23"/>
      <c r="L551" s="23"/>
      <c r="M551" s="23"/>
      <c r="N551" s="23"/>
      <c r="O551" s="23"/>
    </row>
    <row r="552">
      <c r="B552" s="23"/>
      <c r="C552" s="23"/>
      <c r="E552" s="24"/>
      <c r="G552" s="23"/>
      <c r="H552" s="23"/>
      <c r="I552" s="23"/>
      <c r="J552" s="23"/>
      <c r="K552" s="23"/>
      <c r="L552" s="23"/>
      <c r="M552" s="23"/>
      <c r="N552" s="23"/>
      <c r="O552" s="23"/>
    </row>
    <row r="553">
      <c r="B553" s="23"/>
      <c r="C553" s="23"/>
      <c r="E553" s="24"/>
      <c r="G553" s="23"/>
      <c r="H553" s="23"/>
      <c r="I553" s="23"/>
      <c r="J553" s="23"/>
      <c r="K553" s="23"/>
      <c r="L553" s="23"/>
      <c r="M553" s="23"/>
      <c r="N553" s="23"/>
      <c r="O553" s="23"/>
    </row>
    <row r="554">
      <c r="B554" s="23"/>
      <c r="C554" s="23"/>
      <c r="E554" s="24"/>
      <c r="G554" s="23"/>
      <c r="H554" s="23"/>
      <c r="I554" s="23"/>
      <c r="J554" s="23"/>
      <c r="K554" s="23"/>
      <c r="L554" s="23"/>
      <c r="M554" s="23"/>
      <c r="N554" s="23"/>
      <c r="O554" s="23"/>
    </row>
    <row r="555">
      <c r="B555" s="23"/>
      <c r="C555" s="23"/>
      <c r="E555" s="24"/>
      <c r="G555" s="23"/>
      <c r="H555" s="23"/>
      <c r="I555" s="23"/>
      <c r="J555" s="23"/>
      <c r="K555" s="23"/>
      <c r="L555" s="23"/>
      <c r="M555" s="23"/>
      <c r="N555" s="23"/>
      <c r="O555" s="23"/>
    </row>
    <row r="556">
      <c r="B556" s="23"/>
      <c r="C556" s="23"/>
      <c r="E556" s="24"/>
      <c r="G556" s="23"/>
      <c r="H556" s="23"/>
      <c r="I556" s="23"/>
      <c r="J556" s="23"/>
      <c r="K556" s="23"/>
      <c r="L556" s="23"/>
      <c r="M556" s="23"/>
      <c r="N556" s="23"/>
      <c r="O556" s="23"/>
    </row>
    <row r="557">
      <c r="B557" s="23"/>
      <c r="C557" s="23"/>
      <c r="E557" s="24"/>
      <c r="G557" s="23"/>
      <c r="H557" s="23"/>
      <c r="I557" s="23"/>
      <c r="J557" s="23"/>
      <c r="K557" s="23"/>
      <c r="L557" s="23"/>
      <c r="M557" s="23"/>
      <c r="N557" s="23"/>
      <c r="O557" s="23"/>
    </row>
    <row r="558">
      <c r="B558" s="23"/>
      <c r="C558" s="23"/>
      <c r="E558" s="24"/>
      <c r="G558" s="23"/>
      <c r="H558" s="23"/>
      <c r="I558" s="23"/>
      <c r="J558" s="23"/>
      <c r="K558" s="23"/>
      <c r="L558" s="23"/>
      <c r="M558" s="23"/>
      <c r="N558" s="23"/>
      <c r="O558" s="23"/>
    </row>
    <row r="559">
      <c r="B559" s="23"/>
      <c r="C559" s="23"/>
      <c r="E559" s="24"/>
      <c r="G559" s="23"/>
      <c r="H559" s="23"/>
      <c r="I559" s="23"/>
      <c r="J559" s="23"/>
      <c r="K559" s="23"/>
      <c r="L559" s="23"/>
      <c r="M559" s="23"/>
      <c r="N559" s="23"/>
      <c r="O559" s="23"/>
    </row>
    <row r="560">
      <c r="B560" s="23"/>
      <c r="C560" s="23"/>
      <c r="E560" s="24"/>
      <c r="G560" s="23"/>
      <c r="H560" s="23"/>
      <c r="I560" s="23"/>
      <c r="J560" s="23"/>
      <c r="K560" s="23"/>
      <c r="L560" s="23"/>
      <c r="M560" s="23"/>
      <c r="N560" s="23"/>
      <c r="O560" s="23"/>
    </row>
    <row r="561">
      <c r="B561" s="23"/>
      <c r="C561" s="23"/>
      <c r="E561" s="24"/>
      <c r="G561" s="23"/>
      <c r="H561" s="23"/>
      <c r="I561" s="23"/>
      <c r="J561" s="23"/>
      <c r="K561" s="23"/>
      <c r="L561" s="23"/>
      <c r="M561" s="23"/>
      <c r="N561" s="23"/>
      <c r="O561" s="23"/>
    </row>
    <row r="562">
      <c r="B562" s="23"/>
      <c r="C562" s="23"/>
      <c r="E562" s="24"/>
      <c r="G562" s="23"/>
      <c r="H562" s="23"/>
      <c r="I562" s="23"/>
      <c r="J562" s="23"/>
      <c r="K562" s="23"/>
      <c r="L562" s="23"/>
      <c r="M562" s="23"/>
      <c r="N562" s="23"/>
      <c r="O562" s="23"/>
    </row>
    <row r="563">
      <c r="B563" s="23"/>
      <c r="C563" s="23"/>
      <c r="E563" s="24"/>
      <c r="G563" s="23"/>
      <c r="H563" s="23"/>
      <c r="I563" s="23"/>
      <c r="J563" s="23"/>
      <c r="K563" s="23"/>
      <c r="L563" s="23"/>
      <c r="M563" s="23"/>
      <c r="N563" s="23"/>
      <c r="O563" s="23"/>
    </row>
    <row r="564">
      <c r="B564" s="23"/>
      <c r="C564" s="23"/>
      <c r="E564" s="24"/>
      <c r="G564" s="23"/>
      <c r="H564" s="23"/>
      <c r="I564" s="23"/>
      <c r="J564" s="23"/>
      <c r="K564" s="23"/>
      <c r="L564" s="23"/>
      <c r="M564" s="23"/>
      <c r="N564" s="23"/>
      <c r="O564" s="23"/>
    </row>
    <row r="565">
      <c r="B565" s="23"/>
      <c r="C565" s="23"/>
      <c r="E565" s="24"/>
      <c r="G565" s="23"/>
      <c r="H565" s="23"/>
      <c r="I565" s="23"/>
      <c r="J565" s="23"/>
      <c r="K565" s="23"/>
      <c r="L565" s="23"/>
      <c r="M565" s="23"/>
      <c r="N565" s="23"/>
      <c r="O565" s="23"/>
    </row>
    <row r="566">
      <c r="B566" s="23"/>
      <c r="C566" s="23"/>
      <c r="E566" s="24"/>
      <c r="G566" s="23"/>
      <c r="H566" s="23"/>
      <c r="I566" s="23"/>
      <c r="J566" s="23"/>
      <c r="K566" s="23"/>
      <c r="L566" s="23"/>
      <c r="M566" s="23"/>
      <c r="N566" s="23"/>
      <c r="O566" s="23"/>
    </row>
    <row r="567">
      <c r="B567" s="23"/>
      <c r="C567" s="23"/>
      <c r="E567" s="24"/>
      <c r="G567" s="23"/>
      <c r="H567" s="23"/>
      <c r="I567" s="23"/>
      <c r="J567" s="23"/>
      <c r="K567" s="23"/>
      <c r="L567" s="23"/>
      <c r="M567" s="23"/>
      <c r="N567" s="23"/>
      <c r="O567" s="23"/>
    </row>
    <row r="568">
      <c r="B568" s="23"/>
      <c r="C568" s="23"/>
      <c r="E568" s="24"/>
      <c r="G568" s="23"/>
      <c r="H568" s="23"/>
      <c r="I568" s="23"/>
      <c r="J568" s="23"/>
      <c r="K568" s="23"/>
      <c r="L568" s="23"/>
      <c r="M568" s="23"/>
      <c r="N568" s="23"/>
      <c r="O568" s="23"/>
    </row>
    <row r="569">
      <c r="B569" s="23"/>
      <c r="C569" s="23"/>
      <c r="E569" s="24"/>
      <c r="G569" s="23"/>
      <c r="H569" s="23"/>
      <c r="I569" s="23"/>
      <c r="J569" s="23"/>
      <c r="K569" s="23"/>
      <c r="L569" s="23"/>
      <c r="M569" s="23"/>
      <c r="N569" s="23"/>
      <c r="O569" s="23"/>
    </row>
    <row r="570">
      <c r="B570" s="23"/>
      <c r="C570" s="23"/>
      <c r="E570" s="24"/>
      <c r="G570" s="23"/>
      <c r="H570" s="23"/>
      <c r="I570" s="23"/>
      <c r="J570" s="23"/>
      <c r="K570" s="23"/>
      <c r="L570" s="23"/>
      <c r="M570" s="23"/>
      <c r="N570" s="23"/>
      <c r="O570" s="23"/>
    </row>
    <row r="571">
      <c r="B571" s="23"/>
      <c r="C571" s="23"/>
      <c r="E571" s="24"/>
      <c r="G571" s="23"/>
      <c r="H571" s="23"/>
      <c r="I571" s="23"/>
      <c r="J571" s="23"/>
      <c r="K571" s="23"/>
      <c r="L571" s="23"/>
      <c r="M571" s="23"/>
      <c r="N571" s="23"/>
      <c r="O571" s="23"/>
    </row>
    <row r="572">
      <c r="B572" s="23"/>
      <c r="C572" s="23"/>
      <c r="E572" s="24"/>
      <c r="G572" s="23"/>
      <c r="H572" s="23"/>
      <c r="I572" s="23"/>
      <c r="J572" s="23"/>
      <c r="K572" s="23"/>
      <c r="L572" s="23"/>
      <c r="M572" s="23"/>
      <c r="N572" s="23"/>
      <c r="O572" s="23"/>
    </row>
    <row r="573">
      <c r="B573" s="23"/>
      <c r="C573" s="23"/>
      <c r="E573" s="24"/>
      <c r="G573" s="23"/>
      <c r="H573" s="23"/>
      <c r="I573" s="23"/>
      <c r="J573" s="23"/>
      <c r="K573" s="23"/>
      <c r="L573" s="23"/>
      <c r="M573" s="23"/>
      <c r="N573" s="23"/>
      <c r="O573" s="23"/>
    </row>
    <row r="574">
      <c r="B574" s="23"/>
      <c r="C574" s="23"/>
      <c r="E574" s="24"/>
      <c r="G574" s="23"/>
      <c r="H574" s="23"/>
      <c r="I574" s="23"/>
      <c r="J574" s="23"/>
      <c r="K574" s="23"/>
      <c r="L574" s="23"/>
      <c r="M574" s="23"/>
      <c r="N574" s="23"/>
      <c r="O574" s="23"/>
    </row>
    <row r="575">
      <c r="B575" s="23"/>
      <c r="C575" s="23"/>
      <c r="E575" s="24"/>
      <c r="G575" s="23"/>
      <c r="H575" s="23"/>
      <c r="I575" s="23"/>
      <c r="J575" s="23"/>
      <c r="K575" s="23"/>
      <c r="L575" s="23"/>
      <c r="M575" s="23"/>
      <c r="N575" s="23"/>
      <c r="O575" s="23"/>
    </row>
    <row r="576">
      <c r="B576" s="23"/>
      <c r="C576" s="23"/>
      <c r="E576" s="24"/>
      <c r="G576" s="23"/>
      <c r="H576" s="23"/>
      <c r="I576" s="23"/>
      <c r="J576" s="23"/>
      <c r="K576" s="23"/>
      <c r="L576" s="23"/>
      <c r="M576" s="23"/>
      <c r="N576" s="23"/>
      <c r="O576" s="23"/>
    </row>
    <row r="577">
      <c r="B577" s="23"/>
      <c r="C577" s="23"/>
      <c r="E577" s="24"/>
      <c r="G577" s="23"/>
      <c r="H577" s="23"/>
      <c r="I577" s="23"/>
      <c r="J577" s="23"/>
      <c r="K577" s="23"/>
      <c r="L577" s="23"/>
      <c r="M577" s="23"/>
      <c r="N577" s="23"/>
      <c r="O577" s="23"/>
    </row>
    <row r="578">
      <c r="B578" s="23"/>
      <c r="C578" s="23"/>
      <c r="E578" s="24"/>
      <c r="G578" s="23"/>
      <c r="H578" s="23"/>
      <c r="I578" s="23"/>
      <c r="J578" s="23"/>
      <c r="K578" s="23"/>
      <c r="L578" s="23"/>
      <c r="M578" s="23"/>
      <c r="N578" s="23"/>
      <c r="O578" s="23"/>
    </row>
    <row r="579">
      <c r="B579" s="23"/>
      <c r="C579" s="23"/>
      <c r="E579" s="24"/>
      <c r="G579" s="23"/>
      <c r="H579" s="23"/>
      <c r="I579" s="23"/>
      <c r="J579" s="23"/>
      <c r="K579" s="23"/>
      <c r="L579" s="23"/>
      <c r="M579" s="23"/>
      <c r="N579" s="23"/>
      <c r="O579" s="23"/>
    </row>
    <row r="580">
      <c r="B580" s="23"/>
      <c r="C580" s="23"/>
      <c r="E580" s="24"/>
      <c r="G580" s="23"/>
      <c r="H580" s="23"/>
      <c r="I580" s="23"/>
      <c r="J580" s="23"/>
      <c r="K580" s="23"/>
      <c r="L580" s="23"/>
      <c r="M580" s="23"/>
      <c r="N580" s="23"/>
      <c r="O580" s="23"/>
    </row>
    <row r="581">
      <c r="B581" s="23"/>
      <c r="C581" s="23"/>
      <c r="E581" s="24"/>
      <c r="G581" s="23"/>
      <c r="H581" s="23"/>
      <c r="I581" s="23"/>
      <c r="J581" s="23"/>
      <c r="K581" s="23"/>
      <c r="L581" s="23"/>
      <c r="M581" s="23"/>
      <c r="N581" s="23"/>
      <c r="O581" s="23"/>
    </row>
    <row r="582">
      <c r="B582" s="23"/>
      <c r="C582" s="23"/>
      <c r="E582" s="24"/>
      <c r="G582" s="23"/>
      <c r="H582" s="23"/>
      <c r="I582" s="23"/>
      <c r="J582" s="23"/>
      <c r="K582" s="23"/>
      <c r="L582" s="23"/>
      <c r="M582" s="23"/>
      <c r="N582" s="23"/>
      <c r="O582" s="23"/>
    </row>
    <row r="583">
      <c r="B583" s="23"/>
      <c r="C583" s="23"/>
      <c r="E583" s="24"/>
      <c r="G583" s="23"/>
      <c r="H583" s="23"/>
      <c r="I583" s="23"/>
      <c r="J583" s="23"/>
      <c r="K583" s="23"/>
      <c r="L583" s="23"/>
      <c r="M583" s="23"/>
      <c r="N583" s="23"/>
      <c r="O583" s="23"/>
    </row>
    <row r="584">
      <c r="B584" s="23"/>
      <c r="C584" s="23"/>
      <c r="E584" s="24"/>
      <c r="G584" s="23"/>
      <c r="H584" s="23"/>
      <c r="I584" s="23"/>
      <c r="J584" s="23"/>
      <c r="K584" s="23"/>
      <c r="L584" s="23"/>
      <c r="M584" s="23"/>
      <c r="N584" s="23"/>
      <c r="O584" s="23"/>
    </row>
    <row r="585">
      <c r="B585" s="23"/>
      <c r="C585" s="23"/>
      <c r="E585" s="24"/>
      <c r="G585" s="23"/>
      <c r="H585" s="23"/>
      <c r="I585" s="23"/>
      <c r="J585" s="23"/>
      <c r="K585" s="23"/>
      <c r="L585" s="23"/>
      <c r="M585" s="23"/>
      <c r="N585" s="23"/>
      <c r="O585" s="23"/>
    </row>
    <row r="586">
      <c r="B586" s="23"/>
      <c r="C586" s="23"/>
      <c r="E586" s="24"/>
      <c r="G586" s="23"/>
      <c r="H586" s="23"/>
      <c r="I586" s="23"/>
      <c r="J586" s="23"/>
      <c r="K586" s="23"/>
      <c r="L586" s="23"/>
      <c r="M586" s="23"/>
      <c r="N586" s="23"/>
      <c r="O586" s="23"/>
    </row>
    <row r="587">
      <c r="B587" s="23"/>
      <c r="C587" s="23"/>
      <c r="E587" s="24"/>
      <c r="G587" s="23"/>
      <c r="H587" s="23"/>
      <c r="I587" s="23"/>
      <c r="J587" s="23"/>
      <c r="K587" s="23"/>
      <c r="L587" s="23"/>
      <c r="M587" s="23"/>
      <c r="N587" s="23"/>
      <c r="O587" s="23"/>
    </row>
    <row r="588">
      <c r="B588" s="23"/>
      <c r="C588" s="23"/>
      <c r="E588" s="24"/>
      <c r="G588" s="23"/>
      <c r="H588" s="23"/>
      <c r="I588" s="23"/>
      <c r="J588" s="23"/>
      <c r="K588" s="23"/>
      <c r="L588" s="23"/>
      <c r="M588" s="23"/>
      <c r="N588" s="23"/>
      <c r="O588" s="23"/>
    </row>
    <row r="589">
      <c r="B589" s="23"/>
      <c r="C589" s="23"/>
      <c r="E589" s="24"/>
      <c r="G589" s="23"/>
      <c r="H589" s="23"/>
      <c r="I589" s="23"/>
      <c r="J589" s="23"/>
      <c r="K589" s="23"/>
      <c r="L589" s="23"/>
      <c r="M589" s="23"/>
      <c r="N589" s="23"/>
      <c r="O589" s="23"/>
    </row>
    <row r="590">
      <c r="B590" s="23"/>
      <c r="C590" s="23"/>
      <c r="E590" s="24"/>
      <c r="G590" s="23"/>
      <c r="H590" s="23"/>
      <c r="I590" s="23"/>
      <c r="J590" s="23"/>
      <c r="K590" s="23"/>
      <c r="L590" s="23"/>
      <c r="M590" s="23"/>
      <c r="N590" s="23"/>
      <c r="O590" s="23"/>
    </row>
    <row r="591">
      <c r="B591" s="23"/>
      <c r="C591" s="23"/>
      <c r="E591" s="24"/>
      <c r="G591" s="23"/>
      <c r="H591" s="23"/>
      <c r="I591" s="23"/>
      <c r="J591" s="23"/>
      <c r="K591" s="23"/>
      <c r="L591" s="23"/>
      <c r="M591" s="23"/>
      <c r="N591" s="23"/>
      <c r="O591" s="23"/>
    </row>
    <row r="592">
      <c r="B592" s="23"/>
      <c r="C592" s="23"/>
      <c r="E592" s="24"/>
      <c r="G592" s="23"/>
      <c r="H592" s="23"/>
      <c r="I592" s="23"/>
      <c r="J592" s="23"/>
      <c r="K592" s="23"/>
      <c r="L592" s="23"/>
      <c r="M592" s="23"/>
      <c r="N592" s="23"/>
      <c r="O592" s="23"/>
    </row>
    <row r="593">
      <c r="B593" s="23"/>
      <c r="C593" s="23"/>
      <c r="E593" s="24"/>
      <c r="G593" s="23"/>
      <c r="H593" s="23"/>
      <c r="I593" s="23"/>
      <c r="J593" s="23"/>
      <c r="K593" s="23"/>
      <c r="L593" s="23"/>
      <c r="M593" s="23"/>
      <c r="N593" s="23"/>
      <c r="O593" s="23"/>
    </row>
    <row r="594">
      <c r="B594" s="23"/>
      <c r="C594" s="23"/>
      <c r="E594" s="24"/>
      <c r="G594" s="23"/>
      <c r="H594" s="23"/>
      <c r="I594" s="23"/>
      <c r="J594" s="23"/>
      <c r="K594" s="23"/>
      <c r="L594" s="23"/>
      <c r="M594" s="23"/>
      <c r="N594" s="23"/>
      <c r="O594" s="23"/>
    </row>
    <row r="595">
      <c r="B595" s="23"/>
      <c r="C595" s="23"/>
      <c r="E595" s="24"/>
      <c r="G595" s="23"/>
      <c r="H595" s="23"/>
      <c r="I595" s="23"/>
      <c r="J595" s="23"/>
      <c r="K595" s="23"/>
      <c r="L595" s="23"/>
      <c r="M595" s="23"/>
      <c r="N595" s="23"/>
      <c r="O595" s="23"/>
    </row>
    <row r="596">
      <c r="B596" s="23"/>
      <c r="C596" s="23"/>
      <c r="E596" s="24"/>
      <c r="G596" s="23"/>
      <c r="H596" s="23"/>
      <c r="I596" s="23"/>
      <c r="J596" s="23"/>
      <c r="K596" s="23"/>
      <c r="L596" s="23"/>
      <c r="M596" s="23"/>
      <c r="N596" s="23"/>
      <c r="O596" s="23"/>
    </row>
    <row r="597">
      <c r="B597" s="23"/>
      <c r="C597" s="23"/>
      <c r="E597" s="24"/>
      <c r="G597" s="23"/>
      <c r="H597" s="23"/>
      <c r="I597" s="23"/>
      <c r="J597" s="23"/>
      <c r="K597" s="23"/>
      <c r="L597" s="23"/>
      <c r="M597" s="23"/>
      <c r="N597" s="23"/>
      <c r="O597" s="23"/>
    </row>
    <row r="598">
      <c r="B598" s="23"/>
      <c r="C598" s="23"/>
      <c r="E598" s="24"/>
      <c r="G598" s="23"/>
      <c r="H598" s="23"/>
      <c r="I598" s="23"/>
      <c r="J598" s="23"/>
      <c r="K598" s="23"/>
      <c r="L598" s="23"/>
      <c r="M598" s="23"/>
      <c r="N598" s="23"/>
      <c r="O598" s="23"/>
    </row>
    <row r="599">
      <c r="B599" s="23"/>
      <c r="C599" s="23"/>
      <c r="E599" s="24"/>
      <c r="G599" s="23"/>
      <c r="H599" s="23"/>
      <c r="I599" s="23"/>
      <c r="J599" s="23"/>
      <c r="K599" s="23"/>
      <c r="L599" s="23"/>
      <c r="M599" s="23"/>
      <c r="N599" s="23"/>
      <c r="O599" s="23"/>
    </row>
    <row r="600">
      <c r="B600" s="23"/>
      <c r="C600" s="23"/>
      <c r="E600" s="24"/>
      <c r="G600" s="23"/>
      <c r="H600" s="23"/>
      <c r="I600" s="23"/>
      <c r="J600" s="23"/>
      <c r="K600" s="23"/>
      <c r="L600" s="23"/>
      <c r="M600" s="23"/>
      <c r="N600" s="23"/>
      <c r="O600" s="23"/>
    </row>
    <row r="601">
      <c r="B601" s="23"/>
      <c r="C601" s="23"/>
      <c r="E601" s="24"/>
      <c r="G601" s="23"/>
      <c r="H601" s="23"/>
      <c r="I601" s="23"/>
      <c r="J601" s="23"/>
      <c r="K601" s="23"/>
      <c r="L601" s="23"/>
      <c r="M601" s="23"/>
      <c r="N601" s="23"/>
      <c r="O601" s="23"/>
    </row>
    <row r="602">
      <c r="B602" s="23"/>
      <c r="C602" s="23"/>
      <c r="E602" s="24"/>
      <c r="G602" s="23"/>
      <c r="H602" s="23"/>
      <c r="I602" s="23"/>
      <c r="J602" s="23"/>
      <c r="K602" s="23"/>
      <c r="L602" s="23"/>
      <c r="M602" s="23"/>
      <c r="N602" s="23"/>
      <c r="O602" s="23"/>
    </row>
    <row r="603">
      <c r="B603" s="23"/>
      <c r="C603" s="23"/>
      <c r="E603" s="24"/>
      <c r="G603" s="23"/>
      <c r="H603" s="23"/>
      <c r="I603" s="23"/>
      <c r="J603" s="23"/>
      <c r="K603" s="23"/>
      <c r="L603" s="23"/>
      <c r="M603" s="23"/>
      <c r="N603" s="23"/>
      <c r="O603" s="23"/>
    </row>
    <row r="604">
      <c r="B604" s="23"/>
      <c r="C604" s="23"/>
      <c r="E604" s="24"/>
      <c r="G604" s="23"/>
      <c r="H604" s="23"/>
      <c r="I604" s="23"/>
      <c r="J604" s="23"/>
      <c r="K604" s="23"/>
      <c r="L604" s="23"/>
      <c r="M604" s="23"/>
      <c r="N604" s="23"/>
      <c r="O604" s="23"/>
    </row>
    <row r="605">
      <c r="B605" s="23"/>
      <c r="C605" s="23"/>
      <c r="E605" s="24"/>
      <c r="G605" s="23"/>
      <c r="H605" s="23"/>
      <c r="I605" s="23"/>
      <c r="J605" s="23"/>
      <c r="K605" s="23"/>
      <c r="L605" s="23"/>
      <c r="M605" s="23"/>
      <c r="N605" s="23"/>
      <c r="O605" s="23"/>
    </row>
    <row r="606">
      <c r="B606" s="23"/>
      <c r="C606" s="23"/>
      <c r="E606" s="24"/>
      <c r="G606" s="23"/>
      <c r="H606" s="23"/>
      <c r="I606" s="23"/>
      <c r="J606" s="23"/>
      <c r="K606" s="23"/>
      <c r="L606" s="23"/>
      <c r="M606" s="23"/>
      <c r="N606" s="23"/>
      <c r="O606" s="23"/>
    </row>
    <row r="607">
      <c r="B607" s="23"/>
      <c r="C607" s="23"/>
      <c r="E607" s="24"/>
      <c r="G607" s="23"/>
      <c r="H607" s="23"/>
      <c r="I607" s="23"/>
      <c r="J607" s="23"/>
      <c r="K607" s="23"/>
      <c r="L607" s="23"/>
      <c r="M607" s="23"/>
      <c r="N607" s="23"/>
      <c r="O607" s="23"/>
    </row>
    <row r="608">
      <c r="B608" s="23"/>
      <c r="C608" s="23"/>
      <c r="E608" s="24"/>
      <c r="G608" s="23"/>
      <c r="H608" s="23"/>
      <c r="I608" s="23"/>
      <c r="J608" s="23"/>
      <c r="K608" s="23"/>
      <c r="L608" s="23"/>
      <c r="M608" s="23"/>
      <c r="N608" s="23"/>
      <c r="O608" s="23"/>
    </row>
    <row r="609">
      <c r="B609" s="23"/>
      <c r="C609" s="23"/>
      <c r="E609" s="24"/>
      <c r="G609" s="23"/>
      <c r="H609" s="23"/>
      <c r="I609" s="23"/>
      <c r="J609" s="23"/>
      <c r="K609" s="23"/>
      <c r="L609" s="23"/>
      <c r="M609" s="23"/>
      <c r="N609" s="23"/>
      <c r="O609" s="23"/>
    </row>
    <row r="610">
      <c r="B610" s="23"/>
      <c r="C610" s="23"/>
      <c r="E610" s="24"/>
      <c r="G610" s="23"/>
      <c r="H610" s="23"/>
      <c r="I610" s="23"/>
      <c r="J610" s="23"/>
      <c r="K610" s="23"/>
      <c r="L610" s="23"/>
      <c r="M610" s="23"/>
      <c r="N610" s="23"/>
      <c r="O610" s="23"/>
    </row>
    <row r="611">
      <c r="B611" s="23"/>
      <c r="C611" s="23"/>
      <c r="E611" s="24"/>
      <c r="G611" s="23"/>
      <c r="H611" s="23"/>
      <c r="I611" s="23"/>
      <c r="J611" s="23"/>
      <c r="K611" s="23"/>
      <c r="L611" s="23"/>
      <c r="M611" s="23"/>
      <c r="N611" s="23"/>
      <c r="O611" s="23"/>
    </row>
    <row r="612">
      <c r="B612" s="23"/>
      <c r="C612" s="23"/>
      <c r="E612" s="24"/>
      <c r="G612" s="23"/>
      <c r="H612" s="23"/>
      <c r="I612" s="23"/>
      <c r="J612" s="23"/>
      <c r="K612" s="23"/>
      <c r="L612" s="23"/>
      <c r="M612" s="23"/>
      <c r="N612" s="23"/>
      <c r="O612" s="23"/>
    </row>
    <row r="613">
      <c r="B613" s="23"/>
      <c r="C613" s="23"/>
      <c r="E613" s="24"/>
      <c r="G613" s="23"/>
      <c r="H613" s="23"/>
      <c r="I613" s="23"/>
      <c r="J613" s="23"/>
      <c r="K613" s="23"/>
      <c r="L613" s="23"/>
      <c r="M613" s="23"/>
      <c r="N613" s="23"/>
      <c r="O613" s="23"/>
    </row>
    <row r="614">
      <c r="B614" s="23"/>
      <c r="C614" s="23"/>
      <c r="E614" s="24"/>
      <c r="G614" s="23"/>
      <c r="H614" s="23"/>
      <c r="I614" s="23"/>
      <c r="J614" s="23"/>
      <c r="K614" s="23"/>
      <c r="L614" s="23"/>
      <c r="M614" s="23"/>
      <c r="N614" s="23"/>
      <c r="O614" s="23"/>
    </row>
    <row r="615">
      <c r="B615" s="23"/>
      <c r="C615" s="23"/>
      <c r="E615" s="24"/>
      <c r="G615" s="23"/>
      <c r="H615" s="23"/>
      <c r="I615" s="23"/>
      <c r="J615" s="23"/>
      <c r="K615" s="23"/>
      <c r="L615" s="23"/>
      <c r="M615" s="23"/>
      <c r="N615" s="23"/>
      <c r="O615" s="23"/>
    </row>
    <row r="616">
      <c r="B616" s="23"/>
      <c r="C616" s="23"/>
      <c r="E616" s="24"/>
      <c r="G616" s="23"/>
      <c r="H616" s="23"/>
      <c r="I616" s="23"/>
      <c r="J616" s="23"/>
      <c r="K616" s="23"/>
      <c r="L616" s="23"/>
      <c r="M616" s="23"/>
      <c r="N616" s="23"/>
      <c r="O616" s="23"/>
    </row>
    <row r="617">
      <c r="B617" s="23"/>
      <c r="C617" s="23"/>
      <c r="E617" s="24"/>
      <c r="G617" s="23"/>
      <c r="H617" s="23"/>
      <c r="I617" s="23"/>
      <c r="J617" s="23"/>
      <c r="K617" s="23"/>
      <c r="L617" s="23"/>
      <c r="M617" s="23"/>
      <c r="N617" s="23"/>
      <c r="O617" s="23"/>
    </row>
    <row r="618">
      <c r="B618" s="23"/>
      <c r="C618" s="23"/>
      <c r="E618" s="24"/>
      <c r="G618" s="23"/>
      <c r="H618" s="23"/>
      <c r="I618" s="23"/>
      <c r="J618" s="23"/>
      <c r="K618" s="23"/>
      <c r="L618" s="23"/>
      <c r="M618" s="23"/>
      <c r="N618" s="23"/>
      <c r="O618" s="23"/>
    </row>
    <row r="619">
      <c r="B619" s="23"/>
      <c r="C619" s="23"/>
      <c r="E619" s="24"/>
      <c r="G619" s="23"/>
      <c r="H619" s="23"/>
      <c r="I619" s="23"/>
      <c r="J619" s="23"/>
      <c r="K619" s="23"/>
      <c r="L619" s="23"/>
      <c r="M619" s="23"/>
      <c r="N619" s="23"/>
      <c r="O619" s="23"/>
    </row>
    <row r="620">
      <c r="B620" s="23"/>
      <c r="C620" s="23"/>
      <c r="E620" s="24"/>
      <c r="G620" s="23"/>
      <c r="H620" s="23"/>
      <c r="I620" s="23"/>
      <c r="J620" s="23"/>
      <c r="K620" s="23"/>
      <c r="L620" s="23"/>
      <c r="M620" s="23"/>
      <c r="N620" s="23"/>
      <c r="O620" s="23"/>
    </row>
    <row r="621">
      <c r="B621" s="23"/>
      <c r="C621" s="23"/>
      <c r="E621" s="24"/>
      <c r="G621" s="23"/>
      <c r="H621" s="23"/>
      <c r="I621" s="23"/>
      <c r="J621" s="23"/>
      <c r="K621" s="23"/>
      <c r="L621" s="23"/>
      <c r="M621" s="23"/>
      <c r="N621" s="23"/>
      <c r="O621" s="23"/>
    </row>
    <row r="622">
      <c r="B622" s="23"/>
      <c r="C622" s="23"/>
      <c r="E622" s="24"/>
      <c r="G622" s="23"/>
      <c r="H622" s="23"/>
      <c r="I622" s="23"/>
      <c r="J622" s="23"/>
      <c r="K622" s="23"/>
      <c r="L622" s="23"/>
      <c r="M622" s="23"/>
      <c r="N622" s="23"/>
      <c r="O622" s="23"/>
    </row>
    <row r="623">
      <c r="B623" s="23"/>
      <c r="C623" s="23"/>
      <c r="E623" s="24"/>
      <c r="G623" s="23"/>
      <c r="H623" s="23"/>
      <c r="I623" s="23"/>
      <c r="J623" s="23"/>
      <c r="K623" s="23"/>
      <c r="L623" s="23"/>
      <c r="M623" s="23"/>
      <c r="N623" s="23"/>
      <c r="O623" s="23"/>
    </row>
    <row r="624">
      <c r="B624" s="23"/>
      <c r="C624" s="23"/>
      <c r="E624" s="24"/>
      <c r="G624" s="23"/>
      <c r="H624" s="23"/>
      <c r="I624" s="23"/>
      <c r="J624" s="23"/>
      <c r="K624" s="23"/>
      <c r="L624" s="23"/>
      <c r="M624" s="23"/>
      <c r="N624" s="23"/>
      <c r="O624" s="23"/>
    </row>
    <row r="625">
      <c r="B625" s="23"/>
      <c r="C625" s="23"/>
      <c r="E625" s="24"/>
      <c r="G625" s="23"/>
      <c r="H625" s="23"/>
      <c r="I625" s="23"/>
      <c r="J625" s="23"/>
      <c r="K625" s="23"/>
      <c r="L625" s="23"/>
      <c r="M625" s="23"/>
      <c r="N625" s="23"/>
      <c r="O625" s="23"/>
    </row>
    <row r="626">
      <c r="B626" s="23"/>
      <c r="C626" s="23"/>
      <c r="E626" s="24"/>
      <c r="G626" s="23"/>
      <c r="H626" s="23"/>
      <c r="I626" s="23"/>
      <c r="J626" s="23"/>
      <c r="K626" s="23"/>
      <c r="L626" s="23"/>
      <c r="M626" s="23"/>
      <c r="N626" s="23"/>
      <c r="O626" s="23"/>
    </row>
    <row r="627">
      <c r="B627" s="23"/>
      <c r="C627" s="23"/>
      <c r="E627" s="24"/>
      <c r="G627" s="23"/>
      <c r="H627" s="23"/>
      <c r="I627" s="23"/>
      <c r="J627" s="23"/>
      <c r="K627" s="23"/>
      <c r="L627" s="23"/>
      <c r="M627" s="23"/>
      <c r="N627" s="23"/>
      <c r="O627" s="23"/>
    </row>
    <row r="628">
      <c r="B628" s="23"/>
      <c r="C628" s="23"/>
      <c r="E628" s="24"/>
      <c r="G628" s="23"/>
      <c r="H628" s="23"/>
      <c r="I628" s="23"/>
      <c r="J628" s="23"/>
      <c r="K628" s="23"/>
      <c r="L628" s="23"/>
      <c r="M628" s="23"/>
      <c r="N628" s="23"/>
      <c r="O628" s="23"/>
    </row>
    <row r="629">
      <c r="B629" s="23"/>
      <c r="C629" s="23"/>
      <c r="E629" s="24"/>
      <c r="G629" s="23"/>
      <c r="H629" s="23"/>
      <c r="I629" s="23"/>
      <c r="J629" s="23"/>
      <c r="K629" s="23"/>
      <c r="L629" s="23"/>
      <c r="M629" s="23"/>
      <c r="N629" s="23"/>
      <c r="O629" s="23"/>
    </row>
    <row r="630">
      <c r="B630" s="23"/>
      <c r="C630" s="23"/>
      <c r="E630" s="24"/>
      <c r="G630" s="23"/>
      <c r="H630" s="23"/>
      <c r="I630" s="23"/>
      <c r="J630" s="23"/>
      <c r="K630" s="23"/>
      <c r="L630" s="23"/>
      <c r="M630" s="23"/>
      <c r="N630" s="23"/>
      <c r="O630" s="23"/>
    </row>
    <row r="631">
      <c r="B631" s="23"/>
      <c r="C631" s="23"/>
      <c r="E631" s="24"/>
      <c r="G631" s="23"/>
      <c r="H631" s="23"/>
      <c r="I631" s="23"/>
      <c r="J631" s="23"/>
      <c r="K631" s="23"/>
      <c r="L631" s="23"/>
      <c r="M631" s="23"/>
      <c r="N631" s="23"/>
      <c r="O631" s="23"/>
    </row>
    <row r="632">
      <c r="B632" s="23"/>
      <c r="C632" s="23"/>
      <c r="E632" s="24"/>
      <c r="G632" s="23"/>
      <c r="H632" s="23"/>
      <c r="I632" s="23"/>
      <c r="J632" s="23"/>
      <c r="K632" s="23"/>
      <c r="L632" s="23"/>
      <c r="M632" s="23"/>
      <c r="N632" s="23"/>
      <c r="O632" s="23"/>
    </row>
    <row r="633">
      <c r="B633" s="23"/>
      <c r="C633" s="23"/>
      <c r="E633" s="24"/>
      <c r="G633" s="23"/>
      <c r="H633" s="23"/>
      <c r="I633" s="23"/>
      <c r="J633" s="23"/>
      <c r="K633" s="23"/>
      <c r="L633" s="23"/>
      <c r="M633" s="23"/>
      <c r="N633" s="23"/>
      <c r="O633" s="23"/>
    </row>
    <row r="634">
      <c r="B634" s="23"/>
      <c r="C634" s="23"/>
      <c r="E634" s="24"/>
      <c r="G634" s="23"/>
      <c r="H634" s="23"/>
      <c r="I634" s="23"/>
      <c r="J634" s="23"/>
      <c r="K634" s="23"/>
      <c r="L634" s="23"/>
      <c r="M634" s="23"/>
      <c r="N634" s="23"/>
      <c r="O634" s="23"/>
    </row>
    <row r="635">
      <c r="B635" s="23"/>
      <c r="C635" s="23"/>
      <c r="E635" s="24"/>
      <c r="G635" s="23"/>
      <c r="H635" s="23"/>
      <c r="I635" s="23"/>
      <c r="J635" s="23"/>
      <c r="K635" s="23"/>
      <c r="L635" s="23"/>
      <c r="M635" s="23"/>
      <c r="N635" s="23"/>
      <c r="O635" s="23"/>
    </row>
    <row r="636">
      <c r="B636" s="23"/>
      <c r="C636" s="23"/>
      <c r="E636" s="24"/>
      <c r="G636" s="23"/>
      <c r="H636" s="23"/>
      <c r="I636" s="23"/>
      <c r="J636" s="23"/>
      <c r="K636" s="23"/>
      <c r="L636" s="23"/>
      <c r="M636" s="23"/>
      <c r="N636" s="23"/>
      <c r="O636" s="23"/>
    </row>
    <row r="637">
      <c r="B637" s="23"/>
      <c r="C637" s="23"/>
      <c r="E637" s="24"/>
      <c r="G637" s="23"/>
      <c r="H637" s="23"/>
      <c r="I637" s="23"/>
      <c r="J637" s="23"/>
      <c r="K637" s="23"/>
      <c r="L637" s="23"/>
      <c r="M637" s="23"/>
      <c r="N637" s="23"/>
      <c r="O637" s="23"/>
    </row>
    <row r="638">
      <c r="B638" s="23"/>
      <c r="C638" s="23"/>
      <c r="E638" s="24"/>
      <c r="G638" s="23"/>
      <c r="H638" s="23"/>
      <c r="I638" s="23"/>
      <c r="J638" s="23"/>
      <c r="K638" s="23"/>
      <c r="L638" s="23"/>
      <c r="M638" s="23"/>
      <c r="N638" s="23"/>
      <c r="O638" s="23"/>
    </row>
    <row r="639">
      <c r="B639" s="23"/>
      <c r="C639" s="23"/>
      <c r="E639" s="24"/>
      <c r="G639" s="23"/>
      <c r="H639" s="23"/>
      <c r="I639" s="23"/>
      <c r="J639" s="23"/>
      <c r="K639" s="23"/>
      <c r="L639" s="23"/>
      <c r="M639" s="23"/>
      <c r="N639" s="23"/>
      <c r="O639" s="23"/>
    </row>
    <row r="640">
      <c r="B640" s="23"/>
      <c r="C640" s="23"/>
      <c r="E640" s="24"/>
      <c r="G640" s="23"/>
      <c r="H640" s="23"/>
      <c r="I640" s="23"/>
      <c r="J640" s="23"/>
      <c r="K640" s="23"/>
      <c r="L640" s="23"/>
      <c r="M640" s="23"/>
      <c r="N640" s="23"/>
      <c r="O640" s="23"/>
    </row>
    <row r="641">
      <c r="B641" s="23"/>
      <c r="C641" s="23"/>
      <c r="E641" s="24"/>
      <c r="G641" s="23"/>
      <c r="H641" s="23"/>
      <c r="I641" s="23"/>
      <c r="J641" s="23"/>
      <c r="K641" s="23"/>
      <c r="L641" s="23"/>
      <c r="M641" s="23"/>
      <c r="N641" s="23"/>
      <c r="O641" s="23"/>
    </row>
    <row r="642">
      <c r="B642" s="23"/>
      <c r="C642" s="23"/>
      <c r="E642" s="24"/>
      <c r="G642" s="23"/>
      <c r="H642" s="23"/>
      <c r="I642" s="23"/>
      <c r="J642" s="23"/>
      <c r="K642" s="23"/>
      <c r="L642" s="23"/>
      <c r="M642" s="23"/>
      <c r="N642" s="23"/>
      <c r="O642" s="23"/>
    </row>
    <row r="643">
      <c r="B643" s="23"/>
      <c r="C643" s="23"/>
      <c r="E643" s="24"/>
      <c r="G643" s="23"/>
      <c r="H643" s="23"/>
      <c r="I643" s="23"/>
      <c r="J643" s="23"/>
      <c r="K643" s="23"/>
      <c r="L643" s="23"/>
      <c r="M643" s="23"/>
      <c r="N643" s="23"/>
      <c r="O643" s="23"/>
    </row>
    <row r="644">
      <c r="B644" s="23"/>
      <c r="C644" s="23"/>
      <c r="E644" s="24"/>
      <c r="G644" s="23"/>
      <c r="H644" s="23"/>
      <c r="I644" s="23"/>
      <c r="J644" s="23"/>
      <c r="K644" s="23"/>
      <c r="L644" s="23"/>
      <c r="M644" s="23"/>
      <c r="N644" s="23"/>
      <c r="O644" s="23"/>
    </row>
    <row r="645">
      <c r="B645" s="23"/>
      <c r="C645" s="23"/>
      <c r="E645" s="24"/>
      <c r="G645" s="23"/>
      <c r="H645" s="23"/>
      <c r="I645" s="23"/>
      <c r="J645" s="23"/>
      <c r="K645" s="23"/>
      <c r="L645" s="23"/>
      <c r="M645" s="23"/>
      <c r="N645" s="23"/>
      <c r="O645" s="23"/>
    </row>
    <row r="646">
      <c r="B646" s="23"/>
      <c r="C646" s="23"/>
      <c r="E646" s="24"/>
      <c r="G646" s="23"/>
      <c r="H646" s="23"/>
      <c r="I646" s="23"/>
      <c r="J646" s="23"/>
      <c r="K646" s="23"/>
      <c r="L646" s="23"/>
      <c r="M646" s="23"/>
      <c r="N646" s="23"/>
      <c r="O646" s="23"/>
    </row>
    <row r="647">
      <c r="B647" s="23"/>
      <c r="C647" s="23"/>
      <c r="E647" s="24"/>
      <c r="G647" s="23"/>
      <c r="H647" s="23"/>
      <c r="I647" s="23"/>
      <c r="J647" s="23"/>
      <c r="K647" s="23"/>
      <c r="L647" s="23"/>
      <c r="M647" s="23"/>
      <c r="N647" s="23"/>
      <c r="O647" s="23"/>
    </row>
    <row r="648">
      <c r="B648" s="23"/>
      <c r="C648" s="23"/>
      <c r="E648" s="24"/>
      <c r="G648" s="23"/>
      <c r="H648" s="23"/>
      <c r="I648" s="23"/>
      <c r="J648" s="23"/>
      <c r="K648" s="23"/>
      <c r="L648" s="23"/>
      <c r="M648" s="23"/>
      <c r="N648" s="23"/>
      <c r="O648" s="23"/>
    </row>
    <row r="649">
      <c r="B649" s="23"/>
      <c r="C649" s="23"/>
      <c r="E649" s="24"/>
      <c r="G649" s="23"/>
      <c r="H649" s="23"/>
      <c r="I649" s="23"/>
      <c r="J649" s="23"/>
      <c r="K649" s="23"/>
      <c r="L649" s="23"/>
      <c r="M649" s="23"/>
      <c r="N649" s="23"/>
      <c r="O649" s="23"/>
    </row>
    <row r="650">
      <c r="B650" s="23"/>
      <c r="C650" s="23"/>
      <c r="E650" s="24"/>
      <c r="G650" s="23"/>
      <c r="H650" s="23"/>
      <c r="I650" s="23"/>
      <c r="J650" s="23"/>
      <c r="K650" s="23"/>
      <c r="L650" s="23"/>
      <c r="M650" s="23"/>
      <c r="N650" s="23"/>
      <c r="O650" s="23"/>
    </row>
    <row r="651">
      <c r="B651" s="23"/>
      <c r="C651" s="23"/>
      <c r="E651" s="24"/>
      <c r="G651" s="23"/>
      <c r="H651" s="23"/>
      <c r="I651" s="23"/>
      <c r="J651" s="23"/>
      <c r="K651" s="23"/>
      <c r="L651" s="23"/>
      <c r="M651" s="23"/>
      <c r="N651" s="23"/>
      <c r="O651" s="23"/>
    </row>
    <row r="652">
      <c r="B652" s="23"/>
      <c r="C652" s="23"/>
      <c r="E652" s="24"/>
      <c r="G652" s="23"/>
      <c r="H652" s="23"/>
      <c r="I652" s="23"/>
      <c r="J652" s="23"/>
      <c r="K652" s="23"/>
      <c r="L652" s="23"/>
      <c r="M652" s="23"/>
      <c r="N652" s="23"/>
      <c r="O652" s="23"/>
    </row>
    <row r="653">
      <c r="B653" s="23"/>
      <c r="C653" s="23"/>
      <c r="E653" s="24"/>
      <c r="G653" s="23"/>
      <c r="H653" s="23"/>
      <c r="I653" s="23"/>
      <c r="J653" s="23"/>
      <c r="K653" s="23"/>
      <c r="L653" s="23"/>
      <c r="M653" s="23"/>
      <c r="N653" s="23"/>
      <c r="O653" s="23"/>
    </row>
    <row r="654">
      <c r="B654" s="23"/>
      <c r="C654" s="23"/>
      <c r="E654" s="24"/>
      <c r="G654" s="23"/>
      <c r="H654" s="23"/>
      <c r="I654" s="23"/>
      <c r="J654" s="23"/>
      <c r="K654" s="23"/>
      <c r="L654" s="23"/>
      <c r="M654" s="23"/>
      <c r="N654" s="23"/>
      <c r="O654" s="23"/>
    </row>
    <row r="655">
      <c r="B655" s="23"/>
      <c r="C655" s="23"/>
      <c r="E655" s="24"/>
      <c r="G655" s="23"/>
      <c r="H655" s="23"/>
      <c r="I655" s="23"/>
      <c r="J655" s="23"/>
      <c r="K655" s="23"/>
      <c r="L655" s="23"/>
      <c r="M655" s="23"/>
      <c r="N655" s="23"/>
      <c r="O655" s="23"/>
    </row>
    <row r="656">
      <c r="B656" s="23"/>
      <c r="C656" s="23"/>
      <c r="E656" s="24"/>
      <c r="G656" s="23"/>
      <c r="H656" s="23"/>
      <c r="I656" s="23"/>
      <c r="J656" s="23"/>
      <c r="K656" s="23"/>
      <c r="L656" s="23"/>
      <c r="M656" s="23"/>
      <c r="N656" s="23"/>
      <c r="O656" s="23"/>
    </row>
    <row r="657">
      <c r="B657" s="23"/>
      <c r="C657" s="23"/>
      <c r="E657" s="24"/>
      <c r="G657" s="23"/>
      <c r="H657" s="23"/>
      <c r="I657" s="23"/>
      <c r="J657" s="23"/>
      <c r="K657" s="23"/>
      <c r="L657" s="23"/>
      <c r="M657" s="23"/>
      <c r="N657" s="23"/>
      <c r="O657" s="23"/>
    </row>
    <row r="658">
      <c r="B658" s="23"/>
      <c r="C658" s="23"/>
      <c r="E658" s="24"/>
      <c r="G658" s="23"/>
      <c r="H658" s="23"/>
      <c r="I658" s="23"/>
      <c r="J658" s="23"/>
      <c r="K658" s="23"/>
      <c r="L658" s="23"/>
      <c r="M658" s="23"/>
      <c r="N658" s="23"/>
      <c r="O658" s="23"/>
    </row>
    <row r="659">
      <c r="B659" s="23"/>
      <c r="C659" s="23"/>
      <c r="E659" s="24"/>
      <c r="G659" s="23"/>
      <c r="H659" s="23"/>
      <c r="I659" s="23"/>
      <c r="J659" s="23"/>
      <c r="K659" s="23"/>
      <c r="L659" s="23"/>
      <c r="M659" s="23"/>
      <c r="N659" s="23"/>
      <c r="O659" s="23"/>
    </row>
    <row r="660">
      <c r="B660" s="23"/>
      <c r="C660" s="23"/>
      <c r="E660" s="24"/>
      <c r="G660" s="23"/>
      <c r="H660" s="23"/>
      <c r="I660" s="23"/>
      <c r="J660" s="23"/>
      <c r="K660" s="23"/>
      <c r="L660" s="23"/>
      <c r="M660" s="23"/>
      <c r="N660" s="23"/>
      <c r="O660" s="23"/>
    </row>
    <row r="661">
      <c r="B661" s="23"/>
      <c r="C661" s="23"/>
      <c r="E661" s="24"/>
      <c r="G661" s="23"/>
      <c r="H661" s="23"/>
      <c r="I661" s="23"/>
      <c r="J661" s="23"/>
      <c r="K661" s="23"/>
      <c r="L661" s="23"/>
      <c r="M661" s="23"/>
      <c r="N661" s="23"/>
      <c r="O661" s="23"/>
    </row>
    <row r="662">
      <c r="B662" s="23"/>
      <c r="C662" s="23"/>
      <c r="E662" s="24"/>
      <c r="G662" s="23"/>
      <c r="H662" s="23"/>
      <c r="I662" s="23"/>
      <c r="J662" s="23"/>
      <c r="K662" s="23"/>
      <c r="L662" s="23"/>
      <c r="M662" s="23"/>
      <c r="N662" s="23"/>
      <c r="O662" s="23"/>
    </row>
    <row r="663">
      <c r="B663" s="23"/>
      <c r="C663" s="23"/>
      <c r="E663" s="24"/>
      <c r="G663" s="23"/>
      <c r="H663" s="23"/>
      <c r="I663" s="23"/>
      <c r="J663" s="23"/>
      <c r="K663" s="23"/>
      <c r="L663" s="23"/>
      <c r="M663" s="23"/>
      <c r="N663" s="23"/>
      <c r="O663" s="23"/>
    </row>
    <row r="664">
      <c r="B664" s="23"/>
      <c r="C664" s="23"/>
      <c r="E664" s="24"/>
      <c r="G664" s="23"/>
      <c r="H664" s="23"/>
      <c r="I664" s="23"/>
      <c r="J664" s="23"/>
      <c r="K664" s="23"/>
      <c r="L664" s="23"/>
      <c r="M664" s="23"/>
      <c r="N664" s="23"/>
      <c r="O664" s="23"/>
    </row>
    <row r="665">
      <c r="B665" s="23"/>
      <c r="C665" s="23"/>
      <c r="E665" s="24"/>
      <c r="G665" s="23"/>
      <c r="H665" s="23"/>
      <c r="I665" s="23"/>
      <c r="J665" s="23"/>
      <c r="K665" s="23"/>
      <c r="L665" s="23"/>
      <c r="M665" s="23"/>
      <c r="N665" s="23"/>
      <c r="O665" s="23"/>
    </row>
    <row r="666">
      <c r="B666" s="23"/>
      <c r="C666" s="23"/>
      <c r="E666" s="24"/>
      <c r="G666" s="23"/>
      <c r="H666" s="23"/>
      <c r="I666" s="23"/>
      <c r="J666" s="23"/>
      <c r="K666" s="23"/>
      <c r="L666" s="23"/>
      <c r="M666" s="23"/>
      <c r="N666" s="23"/>
      <c r="O666" s="23"/>
    </row>
    <row r="667">
      <c r="B667" s="23"/>
      <c r="C667" s="23"/>
      <c r="E667" s="24"/>
      <c r="G667" s="23"/>
      <c r="H667" s="23"/>
      <c r="I667" s="23"/>
      <c r="J667" s="23"/>
      <c r="K667" s="23"/>
      <c r="L667" s="23"/>
      <c r="M667" s="23"/>
      <c r="N667" s="23"/>
      <c r="O667" s="23"/>
    </row>
    <row r="668">
      <c r="B668" s="23"/>
      <c r="C668" s="23"/>
      <c r="E668" s="24"/>
      <c r="G668" s="23"/>
      <c r="H668" s="23"/>
      <c r="I668" s="23"/>
      <c r="J668" s="23"/>
      <c r="K668" s="23"/>
      <c r="L668" s="23"/>
      <c r="M668" s="23"/>
      <c r="N668" s="23"/>
      <c r="O668" s="23"/>
    </row>
    <row r="669">
      <c r="B669" s="23"/>
      <c r="C669" s="23"/>
      <c r="E669" s="24"/>
      <c r="G669" s="23"/>
      <c r="H669" s="23"/>
      <c r="I669" s="23"/>
      <c r="J669" s="23"/>
      <c r="K669" s="23"/>
      <c r="L669" s="23"/>
      <c r="M669" s="23"/>
      <c r="N669" s="23"/>
      <c r="O669" s="23"/>
    </row>
    <row r="670">
      <c r="B670" s="23"/>
      <c r="C670" s="23"/>
      <c r="E670" s="24"/>
      <c r="G670" s="23"/>
      <c r="H670" s="23"/>
      <c r="I670" s="23"/>
      <c r="J670" s="23"/>
      <c r="K670" s="23"/>
      <c r="L670" s="23"/>
      <c r="M670" s="23"/>
      <c r="N670" s="23"/>
      <c r="O670" s="23"/>
    </row>
    <row r="671">
      <c r="B671" s="23"/>
      <c r="C671" s="23"/>
      <c r="E671" s="24"/>
      <c r="G671" s="23"/>
      <c r="H671" s="23"/>
      <c r="I671" s="23"/>
      <c r="J671" s="23"/>
      <c r="K671" s="23"/>
      <c r="L671" s="23"/>
      <c r="M671" s="23"/>
      <c r="N671" s="23"/>
      <c r="O671" s="23"/>
    </row>
    <row r="672">
      <c r="B672" s="23"/>
      <c r="C672" s="23"/>
      <c r="E672" s="24"/>
      <c r="G672" s="23"/>
      <c r="H672" s="23"/>
      <c r="I672" s="23"/>
      <c r="J672" s="23"/>
      <c r="K672" s="23"/>
      <c r="L672" s="23"/>
      <c r="M672" s="23"/>
      <c r="N672" s="23"/>
      <c r="O672" s="23"/>
    </row>
    <row r="673">
      <c r="B673" s="23"/>
      <c r="C673" s="23"/>
      <c r="E673" s="24"/>
      <c r="G673" s="23"/>
      <c r="H673" s="23"/>
      <c r="I673" s="23"/>
      <c r="J673" s="23"/>
      <c r="K673" s="23"/>
      <c r="L673" s="23"/>
      <c r="M673" s="23"/>
      <c r="N673" s="23"/>
      <c r="O673" s="23"/>
    </row>
    <row r="674">
      <c r="B674" s="23"/>
      <c r="C674" s="23"/>
      <c r="E674" s="24"/>
      <c r="G674" s="23"/>
      <c r="H674" s="23"/>
      <c r="I674" s="23"/>
      <c r="J674" s="23"/>
      <c r="K674" s="23"/>
      <c r="L674" s="23"/>
      <c r="M674" s="23"/>
      <c r="N674" s="23"/>
      <c r="O674" s="23"/>
    </row>
    <row r="675">
      <c r="B675" s="23"/>
      <c r="C675" s="23"/>
      <c r="E675" s="24"/>
      <c r="G675" s="23"/>
      <c r="H675" s="23"/>
      <c r="I675" s="23"/>
      <c r="J675" s="23"/>
      <c r="K675" s="23"/>
      <c r="L675" s="23"/>
      <c r="M675" s="23"/>
      <c r="N675" s="23"/>
      <c r="O675" s="23"/>
    </row>
    <row r="676">
      <c r="B676" s="23"/>
      <c r="C676" s="23"/>
      <c r="E676" s="24"/>
      <c r="G676" s="23"/>
      <c r="H676" s="23"/>
      <c r="I676" s="23"/>
      <c r="J676" s="23"/>
      <c r="K676" s="23"/>
      <c r="L676" s="23"/>
      <c r="M676" s="23"/>
      <c r="N676" s="23"/>
      <c r="O676" s="23"/>
    </row>
    <row r="677">
      <c r="B677" s="23"/>
      <c r="C677" s="23"/>
      <c r="E677" s="24"/>
      <c r="G677" s="23"/>
      <c r="H677" s="23"/>
      <c r="I677" s="23"/>
      <c r="J677" s="23"/>
      <c r="K677" s="23"/>
      <c r="L677" s="23"/>
      <c r="M677" s="23"/>
      <c r="N677" s="23"/>
      <c r="O677" s="23"/>
    </row>
    <row r="678">
      <c r="B678" s="23"/>
      <c r="C678" s="23"/>
      <c r="E678" s="24"/>
      <c r="G678" s="23"/>
      <c r="H678" s="23"/>
      <c r="I678" s="23"/>
      <c r="J678" s="23"/>
      <c r="K678" s="23"/>
      <c r="L678" s="23"/>
      <c r="M678" s="23"/>
      <c r="N678" s="23"/>
      <c r="O678" s="23"/>
    </row>
    <row r="679">
      <c r="B679" s="23"/>
      <c r="C679" s="23"/>
      <c r="E679" s="24"/>
      <c r="G679" s="23"/>
      <c r="H679" s="23"/>
      <c r="I679" s="23"/>
      <c r="J679" s="23"/>
      <c r="K679" s="23"/>
      <c r="L679" s="23"/>
      <c r="M679" s="23"/>
      <c r="N679" s="23"/>
      <c r="O679" s="23"/>
    </row>
    <row r="680">
      <c r="B680" s="23"/>
      <c r="C680" s="23"/>
      <c r="E680" s="24"/>
      <c r="G680" s="23"/>
      <c r="H680" s="23"/>
      <c r="I680" s="23"/>
      <c r="J680" s="23"/>
      <c r="K680" s="23"/>
      <c r="L680" s="23"/>
      <c r="M680" s="23"/>
      <c r="N680" s="23"/>
      <c r="O680" s="23"/>
    </row>
    <row r="681">
      <c r="B681" s="23"/>
      <c r="C681" s="23"/>
      <c r="E681" s="24"/>
      <c r="G681" s="23"/>
      <c r="H681" s="23"/>
      <c r="I681" s="23"/>
      <c r="J681" s="23"/>
      <c r="K681" s="23"/>
      <c r="L681" s="23"/>
      <c r="M681" s="23"/>
      <c r="N681" s="23"/>
      <c r="O681" s="23"/>
    </row>
    <row r="682">
      <c r="B682" s="23"/>
      <c r="C682" s="23"/>
      <c r="E682" s="24"/>
      <c r="G682" s="23"/>
      <c r="H682" s="23"/>
      <c r="I682" s="23"/>
      <c r="J682" s="23"/>
      <c r="K682" s="23"/>
      <c r="L682" s="23"/>
      <c r="M682" s="23"/>
      <c r="N682" s="23"/>
      <c r="O682" s="23"/>
    </row>
    <row r="683">
      <c r="B683" s="23"/>
      <c r="C683" s="23"/>
      <c r="E683" s="24"/>
      <c r="G683" s="23"/>
      <c r="H683" s="23"/>
      <c r="I683" s="23"/>
      <c r="J683" s="23"/>
      <c r="K683" s="23"/>
      <c r="L683" s="23"/>
      <c r="M683" s="23"/>
      <c r="N683" s="23"/>
      <c r="O683" s="23"/>
    </row>
    <row r="684">
      <c r="B684" s="23"/>
      <c r="C684" s="23"/>
      <c r="E684" s="24"/>
      <c r="G684" s="23"/>
      <c r="H684" s="23"/>
      <c r="I684" s="23"/>
      <c r="J684" s="23"/>
      <c r="K684" s="23"/>
      <c r="L684" s="23"/>
      <c r="M684" s="23"/>
      <c r="N684" s="23"/>
      <c r="O684" s="23"/>
    </row>
    <row r="685">
      <c r="B685" s="23"/>
      <c r="C685" s="23"/>
      <c r="E685" s="24"/>
      <c r="G685" s="23"/>
      <c r="H685" s="23"/>
      <c r="I685" s="23"/>
      <c r="J685" s="23"/>
      <c r="K685" s="23"/>
      <c r="L685" s="23"/>
      <c r="M685" s="23"/>
      <c r="N685" s="23"/>
      <c r="O685" s="23"/>
    </row>
    <row r="686">
      <c r="B686" s="23"/>
      <c r="C686" s="23"/>
      <c r="E686" s="24"/>
      <c r="G686" s="23"/>
      <c r="H686" s="23"/>
      <c r="I686" s="23"/>
      <c r="J686" s="23"/>
      <c r="K686" s="23"/>
      <c r="L686" s="23"/>
      <c r="M686" s="23"/>
      <c r="N686" s="23"/>
      <c r="O686" s="23"/>
    </row>
    <row r="687">
      <c r="B687" s="23"/>
      <c r="C687" s="23"/>
      <c r="E687" s="24"/>
      <c r="G687" s="23"/>
      <c r="H687" s="23"/>
      <c r="I687" s="23"/>
      <c r="J687" s="23"/>
      <c r="K687" s="23"/>
      <c r="L687" s="23"/>
      <c r="M687" s="23"/>
      <c r="N687" s="23"/>
      <c r="O687" s="23"/>
    </row>
    <row r="688">
      <c r="B688" s="23"/>
      <c r="C688" s="23"/>
      <c r="E688" s="24"/>
      <c r="G688" s="23"/>
      <c r="H688" s="23"/>
      <c r="I688" s="23"/>
      <c r="J688" s="23"/>
      <c r="K688" s="23"/>
      <c r="L688" s="23"/>
      <c r="M688" s="23"/>
      <c r="N688" s="23"/>
      <c r="O688" s="23"/>
    </row>
    <row r="689">
      <c r="B689" s="23"/>
      <c r="C689" s="23"/>
      <c r="E689" s="24"/>
      <c r="G689" s="23"/>
      <c r="H689" s="23"/>
      <c r="I689" s="23"/>
      <c r="J689" s="23"/>
      <c r="K689" s="23"/>
      <c r="L689" s="23"/>
      <c r="M689" s="23"/>
      <c r="N689" s="23"/>
      <c r="O689" s="23"/>
    </row>
    <row r="690">
      <c r="B690" s="23"/>
      <c r="C690" s="23"/>
      <c r="E690" s="24"/>
      <c r="G690" s="23"/>
      <c r="H690" s="23"/>
      <c r="I690" s="23"/>
      <c r="J690" s="23"/>
      <c r="K690" s="23"/>
      <c r="L690" s="23"/>
      <c r="M690" s="23"/>
      <c r="N690" s="23"/>
      <c r="O690" s="23"/>
    </row>
    <row r="691">
      <c r="B691" s="23"/>
      <c r="C691" s="23"/>
      <c r="E691" s="24"/>
      <c r="G691" s="23"/>
      <c r="H691" s="23"/>
      <c r="I691" s="23"/>
      <c r="J691" s="23"/>
      <c r="K691" s="23"/>
      <c r="L691" s="23"/>
      <c r="M691" s="23"/>
      <c r="N691" s="23"/>
      <c r="O691" s="23"/>
    </row>
    <row r="692">
      <c r="B692" s="23"/>
      <c r="C692" s="23"/>
      <c r="E692" s="24"/>
      <c r="G692" s="23"/>
      <c r="H692" s="23"/>
      <c r="I692" s="23"/>
      <c r="J692" s="23"/>
      <c r="K692" s="23"/>
      <c r="L692" s="23"/>
      <c r="M692" s="23"/>
      <c r="N692" s="23"/>
      <c r="O692" s="23"/>
    </row>
    <row r="693">
      <c r="B693" s="23"/>
      <c r="C693" s="23"/>
      <c r="E693" s="24"/>
      <c r="G693" s="23"/>
      <c r="H693" s="23"/>
      <c r="I693" s="23"/>
      <c r="J693" s="23"/>
      <c r="K693" s="23"/>
      <c r="L693" s="23"/>
      <c r="M693" s="23"/>
      <c r="N693" s="23"/>
      <c r="O693" s="23"/>
    </row>
    <row r="694">
      <c r="B694" s="23"/>
      <c r="C694" s="23"/>
      <c r="E694" s="24"/>
      <c r="G694" s="23"/>
      <c r="H694" s="23"/>
      <c r="I694" s="23"/>
      <c r="J694" s="23"/>
      <c r="K694" s="23"/>
      <c r="L694" s="23"/>
      <c r="M694" s="23"/>
      <c r="N694" s="23"/>
      <c r="O694" s="23"/>
    </row>
    <row r="695">
      <c r="B695" s="23"/>
      <c r="C695" s="23"/>
      <c r="E695" s="24"/>
      <c r="G695" s="23"/>
      <c r="H695" s="23"/>
      <c r="I695" s="23"/>
      <c r="J695" s="23"/>
      <c r="K695" s="23"/>
      <c r="L695" s="23"/>
      <c r="M695" s="23"/>
      <c r="N695" s="23"/>
      <c r="O695" s="23"/>
    </row>
    <row r="696">
      <c r="B696" s="23"/>
      <c r="C696" s="23"/>
      <c r="E696" s="24"/>
      <c r="G696" s="23"/>
      <c r="H696" s="23"/>
      <c r="I696" s="23"/>
      <c r="J696" s="23"/>
      <c r="K696" s="23"/>
      <c r="L696" s="23"/>
      <c r="M696" s="23"/>
      <c r="N696" s="23"/>
      <c r="O696" s="23"/>
    </row>
    <row r="697">
      <c r="B697" s="23"/>
      <c r="C697" s="23"/>
      <c r="E697" s="24"/>
      <c r="G697" s="23"/>
      <c r="H697" s="23"/>
      <c r="I697" s="23"/>
      <c r="J697" s="23"/>
      <c r="K697" s="23"/>
      <c r="L697" s="23"/>
      <c r="M697" s="23"/>
      <c r="N697" s="23"/>
      <c r="O697" s="23"/>
    </row>
    <row r="698">
      <c r="B698" s="23"/>
      <c r="C698" s="23"/>
      <c r="E698" s="24"/>
      <c r="G698" s="23"/>
      <c r="H698" s="23"/>
      <c r="I698" s="23"/>
      <c r="J698" s="23"/>
      <c r="K698" s="23"/>
      <c r="L698" s="23"/>
      <c r="M698" s="23"/>
      <c r="N698" s="23"/>
      <c r="O698" s="23"/>
    </row>
    <row r="699">
      <c r="B699" s="23"/>
      <c r="C699" s="23"/>
      <c r="E699" s="24"/>
      <c r="G699" s="23"/>
      <c r="H699" s="23"/>
      <c r="I699" s="23"/>
      <c r="J699" s="23"/>
      <c r="K699" s="23"/>
      <c r="L699" s="23"/>
      <c r="M699" s="23"/>
      <c r="N699" s="23"/>
      <c r="O699" s="23"/>
    </row>
    <row r="700">
      <c r="B700" s="23"/>
      <c r="C700" s="23"/>
      <c r="E700" s="24"/>
      <c r="G700" s="23"/>
      <c r="H700" s="23"/>
      <c r="I700" s="23"/>
      <c r="J700" s="23"/>
      <c r="K700" s="23"/>
      <c r="L700" s="23"/>
      <c r="M700" s="23"/>
      <c r="N700" s="23"/>
      <c r="O700" s="23"/>
    </row>
    <row r="701">
      <c r="B701" s="23"/>
      <c r="C701" s="23"/>
      <c r="E701" s="24"/>
      <c r="G701" s="23"/>
      <c r="H701" s="23"/>
      <c r="I701" s="23"/>
      <c r="J701" s="23"/>
      <c r="K701" s="23"/>
      <c r="L701" s="23"/>
      <c r="M701" s="23"/>
      <c r="N701" s="23"/>
      <c r="O701" s="23"/>
    </row>
    <row r="702">
      <c r="B702" s="23"/>
      <c r="C702" s="23"/>
      <c r="E702" s="24"/>
      <c r="G702" s="23"/>
      <c r="H702" s="23"/>
      <c r="I702" s="23"/>
      <c r="J702" s="23"/>
      <c r="K702" s="23"/>
      <c r="L702" s="23"/>
      <c r="M702" s="23"/>
      <c r="N702" s="23"/>
      <c r="O702" s="23"/>
    </row>
    <row r="703">
      <c r="B703" s="23"/>
      <c r="C703" s="23"/>
      <c r="E703" s="24"/>
      <c r="G703" s="23"/>
      <c r="H703" s="23"/>
      <c r="I703" s="23"/>
      <c r="J703" s="23"/>
      <c r="K703" s="23"/>
      <c r="L703" s="23"/>
      <c r="M703" s="23"/>
      <c r="N703" s="23"/>
      <c r="O703" s="23"/>
    </row>
    <row r="704">
      <c r="B704" s="23"/>
      <c r="C704" s="23"/>
      <c r="E704" s="24"/>
      <c r="G704" s="23"/>
      <c r="H704" s="23"/>
      <c r="I704" s="23"/>
      <c r="J704" s="23"/>
      <c r="K704" s="23"/>
      <c r="L704" s="23"/>
      <c r="M704" s="23"/>
      <c r="N704" s="23"/>
      <c r="O704" s="23"/>
    </row>
    <row r="705">
      <c r="B705" s="23"/>
      <c r="C705" s="23"/>
      <c r="E705" s="24"/>
      <c r="G705" s="23"/>
      <c r="H705" s="23"/>
      <c r="I705" s="23"/>
      <c r="J705" s="23"/>
      <c r="K705" s="23"/>
      <c r="L705" s="23"/>
      <c r="M705" s="23"/>
      <c r="N705" s="23"/>
      <c r="O705" s="23"/>
    </row>
    <row r="706">
      <c r="B706" s="23"/>
      <c r="C706" s="23"/>
      <c r="E706" s="24"/>
      <c r="G706" s="23"/>
      <c r="H706" s="23"/>
      <c r="I706" s="23"/>
      <c r="J706" s="23"/>
      <c r="K706" s="23"/>
      <c r="L706" s="23"/>
      <c r="M706" s="23"/>
      <c r="N706" s="23"/>
      <c r="O706" s="23"/>
    </row>
    <row r="707">
      <c r="B707" s="23"/>
      <c r="C707" s="23"/>
      <c r="E707" s="24"/>
      <c r="G707" s="23"/>
      <c r="H707" s="23"/>
      <c r="I707" s="23"/>
      <c r="J707" s="23"/>
      <c r="K707" s="23"/>
      <c r="L707" s="23"/>
      <c r="M707" s="23"/>
      <c r="N707" s="23"/>
      <c r="O707" s="23"/>
    </row>
    <row r="708">
      <c r="B708" s="23"/>
      <c r="C708" s="23"/>
      <c r="E708" s="24"/>
      <c r="G708" s="23"/>
      <c r="H708" s="23"/>
      <c r="I708" s="23"/>
      <c r="J708" s="23"/>
      <c r="K708" s="23"/>
      <c r="L708" s="23"/>
      <c r="M708" s="23"/>
      <c r="N708" s="23"/>
      <c r="O708" s="23"/>
    </row>
    <row r="709">
      <c r="B709" s="23"/>
      <c r="C709" s="23"/>
      <c r="E709" s="24"/>
      <c r="G709" s="23"/>
      <c r="H709" s="23"/>
      <c r="I709" s="23"/>
      <c r="J709" s="23"/>
      <c r="K709" s="23"/>
      <c r="L709" s="23"/>
      <c r="M709" s="23"/>
      <c r="N709" s="23"/>
      <c r="O709" s="23"/>
    </row>
    <row r="710">
      <c r="B710" s="23"/>
      <c r="C710" s="23"/>
      <c r="E710" s="24"/>
      <c r="G710" s="23"/>
      <c r="H710" s="23"/>
      <c r="I710" s="23"/>
      <c r="J710" s="23"/>
      <c r="K710" s="23"/>
      <c r="L710" s="23"/>
      <c r="M710" s="23"/>
      <c r="N710" s="23"/>
      <c r="O710" s="23"/>
    </row>
    <row r="711">
      <c r="B711" s="23"/>
      <c r="C711" s="23"/>
      <c r="E711" s="24"/>
      <c r="G711" s="23"/>
      <c r="H711" s="23"/>
      <c r="I711" s="23"/>
      <c r="J711" s="23"/>
      <c r="K711" s="23"/>
      <c r="L711" s="23"/>
      <c r="M711" s="23"/>
      <c r="N711" s="23"/>
      <c r="O711" s="23"/>
    </row>
    <row r="712">
      <c r="B712" s="23"/>
      <c r="C712" s="23"/>
      <c r="E712" s="24"/>
      <c r="G712" s="23"/>
      <c r="H712" s="23"/>
      <c r="I712" s="23"/>
      <c r="J712" s="23"/>
      <c r="K712" s="23"/>
      <c r="L712" s="23"/>
      <c r="M712" s="23"/>
      <c r="N712" s="23"/>
      <c r="O712" s="23"/>
    </row>
    <row r="713">
      <c r="B713" s="23"/>
      <c r="C713" s="23"/>
      <c r="E713" s="24"/>
      <c r="G713" s="23"/>
      <c r="H713" s="23"/>
      <c r="I713" s="23"/>
      <c r="J713" s="23"/>
      <c r="K713" s="23"/>
      <c r="L713" s="23"/>
      <c r="M713" s="23"/>
      <c r="N713" s="23"/>
      <c r="O713" s="23"/>
    </row>
    <row r="714">
      <c r="B714" s="23"/>
      <c r="C714" s="23"/>
      <c r="E714" s="24"/>
      <c r="G714" s="23"/>
      <c r="H714" s="23"/>
      <c r="I714" s="23"/>
      <c r="J714" s="23"/>
      <c r="K714" s="23"/>
      <c r="L714" s="23"/>
      <c r="M714" s="23"/>
      <c r="N714" s="23"/>
      <c r="O714" s="23"/>
    </row>
    <row r="715">
      <c r="B715" s="23"/>
      <c r="C715" s="23"/>
      <c r="E715" s="24"/>
      <c r="G715" s="23"/>
      <c r="H715" s="23"/>
      <c r="I715" s="23"/>
      <c r="J715" s="23"/>
      <c r="K715" s="23"/>
      <c r="L715" s="23"/>
      <c r="M715" s="23"/>
      <c r="N715" s="23"/>
      <c r="O715" s="23"/>
    </row>
    <row r="716">
      <c r="B716" s="23"/>
      <c r="C716" s="23"/>
      <c r="E716" s="24"/>
      <c r="G716" s="23"/>
      <c r="H716" s="23"/>
      <c r="I716" s="23"/>
      <c r="J716" s="23"/>
      <c r="K716" s="23"/>
      <c r="L716" s="23"/>
      <c r="M716" s="23"/>
      <c r="N716" s="23"/>
      <c r="O716" s="23"/>
    </row>
    <row r="717">
      <c r="B717" s="23"/>
      <c r="C717" s="23"/>
      <c r="E717" s="24"/>
      <c r="G717" s="23"/>
      <c r="H717" s="23"/>
      <c r="I717" s="23"/>
      <c r="J717" s="23"/>
      <c r="K717" s="23"/>
      <c r="L717" s="23"/>
      <c r="M717" s="23"/>
      <c r="N717" s="23"/>
      <c r="O717" s="23"/>
    </row>
    <row r="718">
      <c r="B718" s="23"/>
      <c r="C718" s="23"/>
      <c r="E718" s="24"/>
      <c r="G718" s="23"/>
      <c r="H718" s="23"/>
      <c r="I718" s="23"/>
      <c r="J718" s="23"/>
      <c r="K718" s="23"/>
      <c r="L718" s="23"/>
      <c r="M718" s="23"/>
      <c r="N718" s="23"/>
      <c r="O718" s="23"/>
    </row>
    <row r="719">
      <c r="B719" s="23"/>
      <c r="C719" s="23"/>
      <c r="E719" s="24"/>
      <c r="G719" s="23"/>
      <c r="H719" s="23"/>
      <c r="I719" s="23"/>
      <c r="J719" s="23"/>
      <c r="K719" s="23"/>
      <c r="L719" s="23"/>
      <c r="M719" s="23"/>
      <c r="N719" s="23"/>
      <c r="O719" s="23"/>
    </row>
    <row r="720">
      <c r="B720" s="23"/>
      <c r="C720" s="23"/>
      <c r="E720" s="24"/>
      <c r="G720" s="23"/>
      <c r="H720" s="23"/>
      <c r="I720" s="23"/>
      <c r="J720" s="23"/>
      <c r="K720" s="23"/>
      <c r="L720" s="23"/>
      <c r="M720" s="23"/>
      <c r="N720" s="23"/>
      <c r="O720" s="23"/>
    </row>
    <row r="721">
      <c r="B721" s="23"/>
      <c r="C721" s="23"/>
      <c r="E721" s="24"/>
      <c r="G721" s="23"/>
      <c r="H721" s="23"/>
      <c r="I721" s="23"/>
      <c r="J721" s="23"/>
      <c r="K721" s="23"/>
      <c r="L721" s="23"/>
      <c r="M721" s="23"/>
      <c r="N721" s="23"/>
      <c r="O721" s="23"/>
    </row>
    <row r="722">
      <c r="B722" s="23"/>
      <c r="C722" s="23"/>
      <c r="E722" s="24"/>
      <c r="G722" s="23"/>
      <c r="H722" s="23"/>
      <c r="I722" s="23"/>
      <c r="J722" s="23"/>
      <c r="K722" s="23"/>
      <c r="L722" s="23"/>
      <c r="M722" s="23"/>
      <c r="N722" s="23"/>
      <c r="O722" s="23"/>
    </row>
    <row r="723">
      <c r="B723" s="23"/>
      <c r="C723" s="23"/>
      <c r="E723" s="24"/>
      <c r="G723" s="23"/>
      <c r="H723" s="23"/>
      <c r="I723" s="23"/>
      <c r="J723" s="23"/>
      <c r="K723" s="23"/>
      <c r="L723" s="23"/>
      <c r="M723" s="23"/>
      <c r="N723" s="23"/>
      <c r="O723" s="23"/>
    </row>
    <row r="724">
      <c r="B724" s="23"/>
      <c r="C724" s="23"/>
      <c r="E724" s="24"/>
      <c r="G724" s="23"/>
      <c r="H724" s="23"/>
      <c r="I724" s="23"/>
      <c r="J724" s="23"/>
      <c r="K724" s="23"/>
      <c r="L724" s="23"/>
      <c r="M724" s="23"/>
      <c r="N724" s="23"/>
      <c r="O724" s="23"/>
    </row>
    <row r="725">
      <c r="B725" s="23"/>
      <c r="C725" s="23"/>
      <c r="E725" s="24"/>
      <c r="G725" s="23"/>
      <c r="H725" s="23"/>
      <c r="I725" s="23"/>
      <c r="J725" s="23"/>
      <c r="K725" s="23"/>
      <c r="L725" s="23"/>
      <c r="M725" s="23"/>
      <c r="N725" s="23"/>
      <c r="O725" s="23"/>
    </row>
    <row r="726">
      <c r="B726" s="23"/>
      <c r="C726" s="23"/>
      <c r="E726" s="24"/>
      <c r="G726" s="23"/>
      <c r="H726" s="23"/>
      <c r="I726" s="23"/>
      <c r="J726" s="23"/>
      <c r="K726" s="23"/>
      <c r="L726" s="23"/>
      <c r="M726" s="23"/>
      <c r="N726" s="23"/>
      <c r="O726" s="23"/>
    </row>
    <row r="727">
      <c r="B727" s="23"/>
      <c r="C727" s="23"/>
      <c r="E727" s="24"/>
      <c r="G727" s="23"/>
      <c r="H727" s="23"/>
      <c r="I727" s="23"/>
      <c r="J727" s="23"/>
      <c r="K727" s="23"/>
      <c r="L727" s="23"/>
      <c r="M727" s="23"/>
      <c r="N727" s="23"/>
      <c r="O727" s="23"/>
    </row>
    <row r="728">
      <c r="B728" s="23"/>
      <c r="C728" s="23"/>
      <c r="E728" s="24"/>
      <c r="G728" s="23"/>
      <c r="H728" s="23"/>
      <c r="I728" s="23"/>
      <c r="J728" s="23"/>
      <c r="K728" s="23"/>
      <c r="L728" s="23"/>
      <c r="M728" s="23"/>
      <c r="N728" s="23"/>
      <c r="O728" s="23"/>
    </row>
    <row r="729">
      <c r="B729" s="23"/>
      <c r="C729" s="23"/>
      <c r="E729" s="24"/>
      <c r="G729" s="23"/>
      <c r="H729" s="23"/>
      <c r="I729" s="23"/>
      <c r="J729" s="23"/>
      <c r="K729" s="23"/>
      <c r="L729" s="23"/>
      <c r="M729" s="23"/>
      <c r="N729" s="23"/>
      <c r="O729" s="23"/>
    </row>
    <row r="730">
      <c r="B730" s="23"/>
      <c r="C730" s="23"/>
      <c r="E730" s="24"/>
      <c r="G730" s="23"/>
      <c r="H730" s="23"/>
      <c r="I730" s="23"/>
      <c r="J730" s="23"/>
      <c r="K730" s="23"/>
      <c r="L730" s="23"/>
      <c r="M730" s="23"/>
      <c r="N730" s="23"/>
      <c r="O730" s="23"/>
    </row>
    <row r="731">
      <c r="B731" s="23"/>
      <c r="C731" s="23"/>
      <c r="E731" s="24"/>
      <c r="G731" s="23"/>
      <c r="H731" s="23"/>
      <c r="I731" s="23"/>
      <c r="J731" s="23"/>
      <c r="K731" s="23"/>
      <c r="L731" s="23"/>
      <c r="M731" s="23"/>
      <c r="N731" s="23"/>
      <c r="O731" s="23"/>
    </row>
    <row r="732">
      <c r="B732" s="23"/>
      <c r="C732" s="23"/>
      <c r="E732" s="24"/>
      <c r="G732" s="23"/>
      <c r="H732" s="23"/>
      <c r="I732" s="23"/>
      <c r="J732" s="23"/>
      <c r="K732" s="23"/>
      <c r="L732" s="23"/>
      <c r="M732" s="23"/>
      <c r="N732" s="23"/>
      <c r="O732" s="23"/>
    </row>
    <row r="733">
      <c r="B733" s="23"/>
      <c r="C733" s="23"/>
      <c r="E733" s="24"/>
      <c r="G733" s="23"/>
      <c r="H733" s="23"/>
      <c r="I733" s="23"/>
      <c r="J733" s="23"/>
      <c r="K733" s="23"/>
      <c r="L733" s="23"/>
      <c r="M733" s="23"/>
      <c r="N733" s="23"/>
      <c r="O733" s="23"/>
    </row>
    <row r="734">
      <c r="B734" s="23"/>
      <c r="C734" s="23"/>
      <c r="E734" s="24"/>
      <c r="G734" s="23"/>
      <c r="H734" s="23"/>
      <c r="I734" s="23"/>
      <c r="J734" s="23"/>
      <c r="K734" s="23"/>
      <c r="L734" s="23"/>
      <c r="M734" s="23"/>
      <c r="N734" s="23"/>
      <c r="O734" s="23"/>
    </row>
    <row r="735">
      <c r="B735" s="23"/>
      <c r="C735" s="23"/>
      <c r="E735" s="24"/>
      <c r="G735" s="23"/>
      <c r="H735" s="23"/>
      <c r="I735" s="23"/>
      <c r="J735" s="23"/>
      <c r="K735" s="23"/>
      <c r="L735" s="23"/>
      <c r="M735" s="23"/>
      <c r="N735" s="23"/>
      <c r="O735" s="23"/>
    </row>
    <row r="736">
      <c r="B736" s="23"/>
      <c r="C736" s="23"/>
      <c r="E736" s="24"/>
      <c r="G736" s="23"/>
      <c r="H736" s="23"/>
      <c r="I736" s="23"/>
      <c r="J736" s="23"/>
      <c r="K736" s="23"/>
      <c r="L736" s="23"/>
      <c r="M736" s="23"/>
      <c r="N736" s="23"/>
      <c r="O736" s="23"/>
    </row>
    <row r="737">
      <c r="B737" s="23"/>
      <c r="C737" s="23"/>
      <c r="E737" s="24"/>
      <c r="G737" s="23"/>
      <c r="H737" s="23"/>
      <c r="I737" s="23"/>
      <c r="J737" s="23"/>
      <c r="K737" s="23"/>
      <c r="L737" s="23"/>
      <c r="M737" s="23"/>
      <c r="N737" s="23"/>
      <c r="O737" s="23"/>
    </row>
    <row r="738">
      <c r="B738" s="23"/>
      <c r="C738" s="23"/>
      <c r="E738" s="24"/>
      <c r="G738" s="23"/>
      <c r="H738" s="23"/>
      <c r="I738" s="23"/>
      <c r="J738" s="23"/>
      <c r="K738" s="23"/>
      <c r="L738" s="23"/>
      <c r="M738" s="23"/>
      <c r="N738" s="23"/>
      <c r="O738" s="23"/>
    </row>
    <row r="739">
      <c r="B739" s="23"/>
      <c r="C739" s="23"/>
      <c r="E739" s="24"/>
      <c r="G739" s="23"/>
      <c r="H739" s="23"/>
      <c r="I739" s="23"/>
      <c r="J739" s="23"/>
      <c r="K739" s="23"/>
      <c r="L739" s="23"/>
      <c r="M739" s="23"/>
      <c r="N739" s="23"/>
      <c r="O739" s="23"/>
    </row>
    <row r="740">
      <c r="B740" s="23"/>
      <c r="C740" s="23"/>
      <c r="E740" s="24"/>
      <c r="G740" s="23"/>
      <c r="H740" s="23"/>
      <c r="I740" s="23"/>
      <c r="J740" s="23"/>
      <c r="K740" s="23"/>
      <c r="L740" s="23"/>
      <c r="M740" s="23"/>
      <c r="N740" s="23"/>
      <c r="O740" s="23"/>
    </row>
    <row r="741">
      <c r="B741" s="23"/>
      <c r="C741" s="23"/>
      <c r="E741" s="24"/>
      <c r="G741" s="23"/>
      <c r="H741" s="23"/>
      <c r="I741" s="23"/>
      <c r="J741" s="23"/>
      <c r="K741" s="23"/>
      <c r="L741" s="23"/>
      <c r="M741" s="23"/>
      <c r="N741" s="23"/>
      <c r="O741" s="23"/>
    </row>
    <row r="742">
      <c r="B742" s="23"/>
      <c r="C742" s="23"/>
      <c r="E742" s="24"/>
      <c r="G742" s="23"/>
      <c r="H742" s="23"/>
      <c r="I742" s="23"/>
      <c r="J742" s="23"/>
      <c r="K742" s="23"/>
      <c r="L742" s="23"/>
      <c r="M742" s="23"/>
      <c r="N742" s="23"/>
      <c r="O742" s="23"/>
    </row>
    <row r="743">
      <c r="B743" s="23"/>
      <c r="C743" s="23"/>
      <c r="E743" s="24"/>
      <c r="G743" s="23"/>
      <c r="H743" s="23"/>
      <c r="I743" s="23"/>
      <c r="J743" s="23"/>
      <c r="K743" s="23"/>
      <c r="L743" s="23"/>
      <c r="M743" s="23"/>
      <c r="N743" s="23"/>
      <c r="O743" s="23"/>
    </row>
    <row r="744">
      <c r="B744" s="23"/>
      <c r="C744" s="23"/>
      <c r="E744" s="24"/>
      <c r="G744" s="23"/>
      <c r="H744" s="23"/>
      <c r="I744" s="23"/>
      <c r="J744" s="23"/>
      <c r="K744" s="23"/>
      <c r="L744" s="23"/>
      <c r="M744" s="23"/>
      <c r="N744" s="23"/>
      <c r="O744" s="23"/>
    </row>
    <row r="745">
      <c r="B745" s="23"/>
      <c r="C745" s="23"/>
      <c r="E745" s="24"/>
      <c r="G745" s="23"/>
      <c r="H745" s="23"/>
      <c r="I745" s="23"/>
      <c r="J745" s="23"/>
      <c r="K745" s="23"/>
      <c r="L745" s="23"/>
      <c r="M745" s="23"/>
      <c r="N745" s="23"/>
      <c r="O745" s="23"/>
    </row>
    <row r="746">
      <c r="B746" s="23"/>
      <c r="C746" s="23"/>
      <c r="E746" s="24"/>
      <c r="G746" s="23"/>
      <c r="H746" s="23"/>
      <c r="I746" s="23"/>
      <c r="J746" s="23"/>
      <c r="K746" s="23"/>
      <c r="L746" s="23"/>
      <c r="M746" s="23"/>
      <c r="N746" s="23"/>
      <c r="O746" s="23"/>
    </row>
    <row r="747">
      <c r="B747" s="23"/>
      <c r="C747" s="23"/>
      <c r="E747" s="24"/>
      <c r="G747" s="23"/>
      <c r="H747" s="23"/>
      <c r="I747" s="23"/>
      <c r="J747" s="23"/>
      <c r="K747" s="23"/>
      <c r="L747" s="23"/>
      <c r="M747" s="23"/>
      <c r="N747" s="23"/>
      <c r="O747" s="23"/>
    </row>
    <row r="748">
      <c r="B748" s="23"/>
      <c r="C748" s="23"/>
      <c r="E748" s="24"/>
      <c r="G748" s="23"/>
      <c r="H748" s="23"/>
      <c r="I748" s="23"/>
      <c r="J748" s="23"/>
      <c r="K748" s="23"/>
      <c r="L748" s="23"/>
      <c r="M748" s="23"/>
      <c r="N748" s="23"/>
      <c r="O748" s="23"/>
    </row>
    <row r="749">
      <c r="B749" s="23"/>
      <c r="C749" s="23"/>
      <c r="E749" s="24"/>
      <c r="G749" s="23"/>
      <c r="H749" s="23"/>
      <c r="I749" s="23"/>
      <c r="J749" s="23"/>
      <c r="K749" s="23"/>
      <c r="L749" s="23"/>
      <c r="M749" s="23"/>
      <c r="N749" s="23"/>
      <c r="O749" s="23"/>
    </row>
    <row r="750">
      <c r="B750" s="23"/>
      <c r="C750" s="23"/>
      <c r="E750" s="24"/>
      <c r="G750" s="23"/>
      <c r="H750" s="23"/>
      <c r="I750" s="23"/>
      <c r="J750" s="23"/>
      <c r="K750" s="23"/>
      <c r="L750" s="23"/>
      <c r="M750" s="23"/>
      <c r="N750" s="23"/>
      <c r="O750" s="23"/>
    </row>
    <row r="751">
      <c r="B751" s="23"/>
      <c r="C751" s="23"/>
      <c r="E751" s="24"/>
      <c r="G751" s="23"/>
      <c r="H751" s="23"/>
      <c r="I751" s="23"/>
      <c r="J751" s="23"/>
      <c r="K751" s="23"/>
      <c r="L751" s="23"/>
      <c r="M751" s="23"/>
      <c r="N751" s="23"/>
      <c r="O751" s="23"/>
    </row>
    <row r="752">
      <c r="B752" s="23"/>
      <c r="C752" s="23"/>
      <c r="E752" s="24"/>
      <c r="G752" s="23"/>
      <c r="H752" s="23"/>
      <c r="I752" s="23"/>
      <c r="J752" s="23"/>
      <c r="K752" s="23"/>
      <c r="L752" s="23"/>
      <c r="M752" s="23"/>
      <c r="N752" s="23"/>
      <c r="O752" s="23"/>
    </row>
    <row r="753">
      <c r="B753" s="23"/>
      <c r="C753" s="23"/>
      <c r="E753" s="24"/>
      <c r="G753" s="23"/>
      <c r="H753" s="23"/>
      <c r="I753" s="23"/>
      <c r="J753" s="23"/>
      <c r="K753" s="23"/>
      <c r="L753" s="23"/>
      <c r="M753" s="23"/>
      <c r="N753" s="23"/>
      <c r="O753" s="23"/>
    </row>
    <row r="754">
      <c r="B754" s="23"/>
      <c r="C754" s="23"/>
      <c r="E754" s="24"/>
      <c r="G754" s="23"/>
      <c r="H754" s="23"/>
      <c r="I754" s="23"/>
      <c r="J754" s="23"/>
      <c r="K754" s="23"/>
      <c r="L754" s="23"/>
      <c r="M754" s="23"/>
      <c r="N754" s="23"/>
      <c r="O754" s="23"/>
    </row>
    <row r="755">
      <c r="B755" s="23"/>
      <c r="C755" s="23"/>
      <c r="E755" s="24"/>
      <c r="G755" s="23"/>
      <c r="H755" s="23"/>
      <c r="I755" s="23"/>
      <c r="J755" s="23"/>
      <c r="K755" s="23"/>
      <c r="L755" s="23"/>
      <c r="M755" s="23"/>
      <c r="N755" s="23"/>
      <c r="O755" s="23"/>
    </row>
    <row r="756">
      <c r="B756" s="23"/>
      <c r="C756" s="23"/>
      <c r="E756" s="24"/>
      <c r="G756" s="23"/>
      <c r="H756" s="23"/>
      <c r="I756" s="23"/>
      <c r="J756" s="23"/>
      <c r="K756" s="23"/>
      <c r="L756" s="23"/>
      <c r="M756" s="23"/>
      <c r="N756" s="23"/>
      <c r="O756" s="23"/>
    </row>
    <row r="757">
      <c r="B757" s="23"/>
      <c r="C757" s="23"/>
      <c r="E757" s="24"/>
      <c r="G757" s="23"/>
      <c r="H757" s="23"/>
      <c r="I757" s="23"/>
      <c r="J757" s="23"/>
      <c r="K757" s="23"/>
      <c r="L757" s="23"/>
      <c r="M757" s="23"/>
      <c r="N757" s="23"/>
      <c r="O757" s="23"/>
    </row>
    <row r="758">
      <c r="B758" s="23"/>
      <c r="C758" s="23"/>
      <c r="E758" s="24"/>
      <c r="G758" s="23"/>
      <c r="H758" s="23"/>
      <c r="I758" s="23"/>
      <c r="J758" s="23"/>
      <c r="K758" s="23"/>
      <c r="L758" s="23"/>
      <c r="M758" s="23"/>
      <c r="N758" s="23"/>
      <c r="O758" s="23"/>
    </row>
    <row r="759">
      <c r="B759" s="23"/>
      <c r="C759" s="23"/>
      <c r="E759" s="24"/>
      <c r="G759" s="23"/>
      <c r="H759" s="23"/>
      <c r="I759" s="23"/>
      <c r="J759" s="23"/>
      <c r="K759" s="23"/>
      <c r="L759" s="23"/>
      <c r="M759" s="23"/>
      <c r="N759" s="23"/>
      <c r="O759" s="23"/>
    </row>
    <row r="760">
      <c r="B760" s="23"/>
      <c r="C760" s="23"/>
      <c r="E760" s="24"/>
      <c r="G760" s="23"/>
      <c r="H760" s="23"/>
      <c r="I760" s="23"/>
      <c r="J760" s="23"/>
      <c r="K760" s="23"/>
      <c r="L760" s="23"/>
      <c r="M760" s="23"/>
      <c r="N760" s="23"/>
      <c r="O760" s="23"/>
    </row>
    <row r="761">
      <c r="B761" s="23"/>
      <c r="C761" s="23"/>
      <c r="E761" s="24"/>
      <c r="G761" s="23"/>
      <c r="H761" s="23"/>
      <c r="I761" s="23"/>
      <c r="J761" s="23"/>
      <c r="K761" s="23"/>
      <c r="L761" s="23"/>
      <c r="M761" s="23"/>
      <c r="N761" s="23"/>
      <c r="O761" s="23"/>
    </row>
    <row r="762">
      <c r="B762" s="23"/>
      <c r="C762" s="23"/>
      <c r="E762" s="24"/>
      <c r="G762" s="23"/>
      <c r="H762" s="23"/>
      <c r="I762" s="23"/>
      <c r="J762" s="23"/>
      <c r="K762" s="23"/>
      <c r="L762" s="23"/>
      <c r="M762" s="23"/>
      <c r="N762" s="23"/>
      <c r="O762" s="23"/>
    </row>
    <row r="763">
      <c r="B763" s="23"/>
      <c r="C763" s="23"/>
      <c r="E763" s="24"/>
      <c r="G763" s="23"/>
      <c r="H763" s="23"/>
      <c r="I763" s="23"/>
      <c r="J763" s="23"/>
      <c r="K763" s="23"/>
      <c r="L763" s="23"/>
      <c r="M763" s="23"/>
      <c r="N763" s="23"/>
      <c r="O763" s="23"/>
    </row>
    <row r="764">
      <c r="B764" s="23"/>
      <c r="C764" s="23"/>
      <c r="E764" s="24"/>
      <c r="G764" s="23"/>
      <c r="H764" s="23"/>
      <c r="I764" s="23"/>
      <c r="J764" s="23"/>
      <c r="K764" s="23"/>
      <c r="L764" s="23"/>
      <c r="M764" s="23"/>
      <c r="N764" s="23"/>
      <c r="O764" s="23"/>
    </row>
    <row r="765">
      <c r="B765" s="23"/>
      <c r="C765" s="23"/>
      <c r="E765" s="24"/>
      <c r="G765" s="23"/>
      <c r="H765" s="23"/>
      <c r="I765" s="23"/>
      <c r="J765" s="23"/>
      <c r="K765" s="23"/>
      <c r="L765" s="23"/>
      <c r="M765" s="23"/>
      <c r="N765" s="23"/>
      <c r="O765" s="23"/>
    </row>
    <row r="766">
      <c r="B766" s="23"/>
      <c r="C766" s="23"/>
      <c r="E766" s="24"/>
      <c r="G766" s="23"/>
      <c r="H766" s="23"/>
      <c r="I766" s="23"/>
      <c r="J766" s="23"/>
      <c r="K766" s="23"/>
      <c r="L766" s="23"/>
      <c r="M766" s="23"/>
      <c r="N766" s="23"/>
      <c r="O766" s="23"/>
    </row>
    <row r="767">
      <c r="B767" s="23"/>
      <c r="C767" s="23"/>
      <c r="E767" s="24"/>
      <c r="G767" s="23"/>
      <c r="H767" s="23"/>
      <c r="I767" s="23"/>
      <c r="J767" s="23"/>
      <c r="K767" s="23"/>
      <c r="L767" s="23"/>
      <c r="M767" s="23"/>
      <c r="N767" s="23"/>
      <c r="O767" s="23"/>
    </row>
    <row r="768">
      <c r="B768" s="23"/>
      <c r="C768" s="23"/>
      <c r="E768" s="24"/>
      <c r="G768" s="23"/>
      <c r="H768" s="23"/>
      <c r="I768" s="23"/>
      <c r="J768" s="23"/>
      <c r="K768" s="23"/>
      <c r="L768" s="23"/>
      <c r="M768" s="23"/>
      <c r="N768" s="23"/>
      <c r="O768" s="23"/>
    </row>
    <row r="769">
      <c r="B769" s="23"/>
      <c r="C769" s="23"/>
      <c r="E769" s="24"/>
      <c r="G769" s="23"/>
      <c r="H769" s="23"/>
      <c r="I769" s="23"/>
      <c r="J769" s="23"/>
      <c r="K769" s="23"/>
      <c r="L769" s="23"/>
      <c r="M769" s="23"/>
      <c r="N769" s="23"/>
      <c r="O769" s="23"/>
    </row>
    <row r="770">
      <c r="B770" s="23"/>
      <c r="C770" s="23"/>
      <c r="E770" s="24"/>
      <c r="G770" s="23"/>
      <c r="H770" s="23"/>
      <c r="I770" s="23"/>
      <c r="J770" s="23"/>
      <c r="K770" s="23"/>
      <c r="L770" s="23"/>
      <c r="M770" s="23"/>
      <c r="N770" s="23"/>
      <c r="O770" s="23"/>
    </row>
    <row r="771">
      <c r="B771" s="23"/>
      <c r="C771" s="23"/>
      <c r="E771" s="24"/>
      <c r="G771" s="23"/>
      <c r="H771" s="23"/>
      <c r="I771" s="23"/>
      <c r="J771" s="23"/>
      <c r="K771" s="23"/>
      <c r="L771" s="23"/>
      <c r="M771" s="23"/>
      <c r="N771" s="23"/>
      <c r="O771" s="23"/>
    </row>
    <row r="772">
      <c r="B772" s="23"/>
      <c r="C772" s="23"/>
      <c r="E772" s="24"/>
      <c r="G772" s="23"/>
      <c r="H772" s="23"/>
      <c r="I772" s="23"/>
      <c r="J772" s="23"/>
      <c r="K772" s="23"/>
      <c r="L772" s="23"/>
      <c r="M772" s="23"/>
      <c r="N772" s="23"/>
      <c r="O772" s="23"/>
    </row>
    <row r="773">
      <c r="B773" s="23"/>
      <c r="C773" s="23"/>
      <c r="E773" s="24"/>
      <c r="G773" s="23"/>
      <c r="H773" s="23"/>
      <c r="I773" s="23"/>
      <c r="J773" s="23"/>
      <c r="K773" s="23"/>
      <c r="L773" s="23"/>
      <c r="M773" s="23"/>
      <c r="N773" s="23"/>
      <c r="O773" s="23"/>
    </row>
    <row r="774">
      <c r="B774" s="23"/>
      <c r="C774" s="23"/>
      <c r="E774" s="24"/>
      <c r="G774" s="23"/>
      <c r="H774" s="23"/>
      <c r="I774" s="23"/>
      <c r="J774" s="23"/>
      <c r="K774" s="23"/>
      <c r="L774" s="23"/>
      <c r="M774" s="23"/>
      <c r="N774" s="23"/>
      <c r="O774" s="23"/>
    </row>
    <row r="775">
      <c r="B775" s="23"/>
      <c r="C775" s="23"/>
      <c r="E775" s="24"/>
      <c r="G775" s="23"/>
      <c r="H775" s="23"/>
      <c r="I775" s="23"/>
      <c r="J775" s="23"/>
      <c r="K775" s="23"/>
      <c r="L775" s="23"/>
      <c r="M775" s="23"/>
      <c r="N775" s="23"/>
      <c r="O775" s="23"/>
    </row>
    <row r="776">
      <c r="B776" s="23"/>
      <c r="C776" s="23"/>
      <c r="E776" s="24"/>
      <c r="G776" s="23"/>
      <c r="H776" s="23"/>
      <c r="I776" s="23"/>
      <c r="J776" s="23"/>
      <c r="K776" s="23"/>
      <c r="L776" s="23"/>
      <c r="M776" s="23"/>
      <c r="N776" s="23"/>
      <c r="O776" s="23"/>
    </row>
    <row r="777">
      <c r="B777" s="23"/>
      <c r="C777" s="23"/>
      <c r="E777" s="24"/>
      <c r="G777" s="23"/>
      <c r="H777" s="23"/>
      <c r="I777" s="23"/>
      <c r="J777" s="23"/>
      <c r="K777" s="23"/>
      <c r="L777" s="23"/>
      <c r="M777" s="23"/>
      <c r="N777" s="23"/>
      <c r="O777" s="23"/>
    </row>
    <row r="778">
      <c r="B778" s="23"/>
      <c r="C778" s="23"/>
      <c r="E778" s="24"/>
      <c r="G778" s="23"/>
      <c r="H778" s="23"/>
      <c r="I778" s="23"/>
      <c r="J778" s="23"/>
      <c r="K778" s="23"/>
      <c r="L778" s="23"/>
      <c r="M778" s="23"/>
      <c r="N778" s="23"/>
      <c r="O778" s="23"/>
    </row>
    <row r="779">
      <c r="B779" s="23"/>
      <c r="C779" s="23"/>
      <c r="E779" s="24"/>
      <c r="G779" s="23"/>
      <c r="H779" s="23"/>
      <c r="I779" s="23"/>
      <c r="J779" s="23"/>
      <c r="K779" s="23"/>
      <c r="L779" s="23"/>
      <c r="M779" s="23"/>
      <c r="N779" s="23"/>
      <c r="O779" s="23"/>
    </row>
    <row r="780">
      <c r="B780" s="23"/>
      <c r="C780" s="23"/>
      <c r="E780" s="24"/>
      <c r="G780" s="23"/>
      <c r="H780" s="23"/>
      <c r="I780" s="23"/>
      <c r="J780" s="23"/>
      <c r="K780" s="23"/>
      <c r="L780" s="23"/>
      <c r="M780" s="23"/>
      <c r="N780" s="23"/>
      <c r="O780" s="23"/>
    </row>
    <row r="781">
      <c r="B781" s="23"/>
      <c r="C781" s="23"/>
      <c r="E781" s="24"/>
      <c r="G781" s="23"/>
      <c r="H781" s="23"/>
      <c r="I781" s="23"/>
      <c r="J781" s="23"/>
      <c r="K781" s="23"/>
      <c r="L781" s="23"/>
      <c r="M781" s="23"/>
      <c r="N781" s="23"/>
      <c r="O781" s="23"/>
    </row>
    <row r="782">
      <c r="B782" s="23"/>
      <c r="C782" s="23"/>
      <c r="E782" s="24"/>
      <c r="G782" s="23"/>
      <c r="H782" s="23"/>
      <c r="I782" s="23"/>
      <c r="J782" s="23"/>
      <c r="K782" s="23"/>
      <c r="L782" s="23"/>
      <c r="M782" s="23"/>
      <c r="N782" s="23"/>
      <c r="O782" s="23"/>
    </row>
    <row r="783">
      <c r="B783" s="23"/>
      <c r="C783" s="23"/>
      <c r="E783" s="24"/>
      <c r="G783" s="23"/>
      <c r="H783" s="23"/>
      <c r="I783" s="23"/>
      <c r="J783" s="23"/>
      <c r="K783" s="23"/>
      <c r="L783" s="23"/>
      <c r="M783" s="23"/>
      <c r="N783" s="23"/>
      <c r="O783" s="23"/>
    </row>
    <row r="784">
      <c r="B784" s="23"/>
      <c r="C784" s="23"/>
      <c r="E784" s="24"/>
      <c r="G784" s="23"/>
      <c r="H784" s="23"/>
      <c r="I784" s="23"/>
      <c r="J784" s="23"/>
      <c r="K784" s="23"/>
      <c r="L784" s="23"/>
      <c r="M784" s="23"/>
      <c r="N784" s="23"/>
      <c r="O784" s="23"/>
    </row>
    <row r="785">
      <c r="B785" s="23"/>
      <c r="C785" s="23"/>
      <c r="E785" s="24"/>
      <c r="G785" s="23"/>
      <c r="H785" s="23"/>
      <c r="I785" s="23"/>
      <c r="J785" s="23"/>
      <c r="K785" s="23"/>
      <c r="L785" s="23"/>
      <c r="M785" s="23"/>
      <c r="N785" s="23"/>
      <c r="O785" s="23"/>
    </row>
    <row r="786">
      <c r="B786" s="23"/>
      <c r="C786" s="23"/>
      <c r="E786" s="24"/>
      <c r="G786" s="23"/>
      <c r="H786" s="23"/>
      <c r="I786" s="23"/>
      <c r="J786" s="23"/>
      <c r="K786" s="23"/>
      <c r="L786" s="23"/>
      <c r="M786" s="23"/>
      <c r="N786" s="23"/>
      <c r="O786" s="23"/>
    </row>
    <row r="787">
      <c r="B787" s="23"/>
      <c r="C787" s="23"/>
      <c r="E787" s="24"/>
      <c r="G787" s="23"/>
      <c r="H787" s="23"/>
      <c r="I787" s="23"/>
      <c r="J787" s="23"/>
      <c r="K787" s="23"/>
      <c r="L787" s="23"/>
      <c r="M787" s="23"/>
      <c r="N787" s="23"/>
      <c r="O787" s="23"/>
    </row>
    <row r="788">
      <c r="B788" s="23"/>
      <c r="C788" s="23"/>
      <c r="E788" s="24"/>
      <c r="G788" s="23"/>
      <c r="H788" s="23"/>
      <c r="I788" s="23"/>
      <c r="J788" s="23"/>
      <c r="K788" s="23"/>
      <c r="L788" s="23"/>
      <c r="M788" s="23"/>
      <c r="N788" s="23"/>
      <c r="O788" s="23"/>
    </row>
    <row r="789">
      <c r="B789" s="23"/>
      <c r="C789" s="23"/>
      <c r="E789" s="24"/>
      <c r="G789" s="23"/>
      <c r="H789" s="23"/>
      <c r="I789" s="23"/>
      <c r="J789" s="23"/>
      <c r="K789" s="23"/>
      <c r="L789" s="23"/>
      <c r="M789" s="23"/>
      <c r="N789" s="23"/>
      <c r="O789" s="23"/>
    </row>
    <row r="790">
      <c r="B790" s="23"/>
      <c r="C790" s="23"/>
      <c r="E790" s="24"/>
      <c r="G790" s="23"/>
      <c r="H790" s="23"/>
      <c r="I790" s="23"/>
      <c r="J790" s="23"/>
      <c r="K790" s="23"/>
      <c r="L790" s="23"/>
      <c r="M790" s="23"/>
      <c r="N790" s="23"/>
      <c r="O790" s="23"/>
    </row>
    <row r="791">
      <c r="B791" s="23"/>
      <c r="C791" s="23"/>
      <c r="E791" s="24"/>
      <c r="G791" s="23"/>
      <c r="H791" s="23"/>
      <c r="I791" s="23"/>
      <c r="J791" s="23"/>
      <c r="K791" s="23"/>
      <c r="L791" s="23"/>
      <c r="M791" s="23"/>
      <c r="N791" s="23"/>
      <c r="O791" s="23"/>
    </row>
    <row r="792">
      <c r="B792" s="23"/>
      <c r="C792" s="23"/>
      <c r="E792" s="24"/>
      <c r="G792" s="23"/>
      <c r="H792" s="23"/>
      <c r="I792" s="23"/>
      <c r="J792" s="23"/>
      <c r="K792" s="23"/>
      <c r="L792" s="23"/>
      <c r="M792" s="23"/>
      <c r="N792" s="23"/>
      <c r="O792" s="23"/>
    </row>
    <row r="793">
      <c r="B793" s="23"/>
      <c r="C793" s="23"/>
      <c r="E793" s="24"/>
      <c r="G793" s="23"/>
      <c r="H793" s="23"/>
      <c r="I793" s="23"/>
      <c r="J793" s="23"/>
      <c r="K793" s="23"/>
      <c r="L793" s="23"/>
      <c r="M793" s="23"/>
      <c r="N793" s="23"/>
      <c r="O793" s="23"/>
    </row>
    <row r="794">
      <c r="B794" s="23"/>
      <c r="C794" s="23"/>
      <c r="E794" s="24"/>
      <c r="G794" s="23"/>
      <c r="H794" s="23"/>
      <c r="I794" s="23"/>
      <c r="J794" s="23"/>
      <c r="K794" s="23"/>
      <c r="L794" s="23"/>
      <c r="M794" s="23"/>
      <c r="N794" s="23"/>
      <c r="O794" s="23"/>
    </row>
    <row r="795">
      <c r="B795" s="23"/>
      <c r="C795" s="23"/>
      <c r="E795" s="24"/>
      <c r="G795" s="23"/>
      <c r="H795" s="23"/>
      <c r="I795" s="23"/>
      <c r="J795" s="23"/>
      <c r="K795" s="23"/>
      <c r="L795" s="23"/>
      <c r="M795" s="23"/>
      <c r="N795" s="23"/>
      <c r="O795" s="23"/>
    </row>
    <row r="796">
      <c r="B796" s="23"/>
      <c r="C796" s="23"/>
      <c r="E796" s="24"/>
      <c r="G796" s="23"/>
      <c r="H796" s="23"/>
      <c r="I796" s="23"/>
      <c r="J796" s="23"/>
      <c r="K796" s="23"/>
      <c r="L796" s="23"/>
      <c r="M796" s="23"/>
      <c r="N796" s="23"/>
      <c r="O796" s="23"/>
    </row>
    <row r="797">
      <c r="B797" s="23"/>
      <c r="C797" s="23"/>
      <c r="E797" s="24"/>
      <c r="G797" s="23"/>
      <c r="H797" s="23"/>
      <c r="I797" s="23"/>
      <c r="J797" s="23"/>
      <c r="K797" s="23"/>
      <c r="L797" s="23"/>
      <c r="M797" s="23"/>
      <c r="N797" s="23"/>
      <c r="O797" s="23"/>
    </row>
    <row r="798">
      <c r="B798" s="23"/>
      <c r="C798" s="23"/>
      <c r="E798" s="24"/>
      <c r="G798" s="23"/>
      <c r="H798" s="23"/>
      <c r="I798" s="23"/>
      <c r="J798" s="23"/>
      <c r="K798" s="23"/>
      <c r="L798" s="23"/>
      <c r="M798" s="23"/>
      <c r="N798" s="23"/>
      <c r="O798" s="23"/>
    </row>
    <row r="799">
      <c r="B799" s="23"/>
      <c r="C799" s="23"/>
      <c r="E799" s="24"/>
      <c r="G799" s="23"/>
      <c r="H799" s="23"/>
      <c r="I799" s="23"/>
      <c r="J799" s="23"/>
      <c r="K799" s="23"/>
      <c r="L799" s="23"/>
      <c r="M799" s="23"/>
      <c r="N799" s="23"/>
      <c r="O799" s="23"/>
    </row>
    <row r="800">
      <c r="B800" s="23"/>
      <c r="C800" s="23"/>
      <c r="E800" s="24"/>
      <c r="G800" s="23"/>
      <c r="H800" s="23"/>
      <c r="I800" s="23"/>
      <c r="J800" s="23"/>
      <c r="K800" s="23"/>
      <c r="L800" s="23"/>
      <c r="M800" s="23"/>
      <c r="N800" s="23"/>
      <c r="O800" s="23"/>
    </row>
    <row r="801">
      <c r="B801" s="23"/>
      <c r="C801" s="23"/>
      <c r="E801" s="24"/>
      <c r="G801" s="23"/>
      <c r="H801" s="23"/>
      <c r="I801" s="23"/>
      <c r="J801" s="23"/>
      <c r="K801" s="23"/>
      <c r="L801" s="23"/>
      <c r="M801" s="23"/>
      <c r="N801" s="23"/>
      <c r="O801" s="23"/>
    </row>
    <row r="802">
      <c r="B802" s="23"/>
      <c r="C802" s="23"/>
      <c r="E802" s="24"/>
      <c r="G802" s="23"/>
      <c r="H802" s="23"/>
      <c r="I802" s="23"/>
      <c r="J802" s="23"/>
      <c r="K802" s="23"/>
      <c r="L802" s="23"/>
      <c r="M802" s="23"/>
      <c r="N802" s="23"/>
      <c r="O802" s="23"/>
    </row>
    <row r="803">
      <c r="B803" s="23"/>
      <c r="C803" s="23"/>
      <c r="E803" s="24"/>
      <c r="G803" s="23"/>
      <c r="H803" s="23"/>
      <c r="I803" s="23"/>
      <c r="J803" s="23"/>
      <c r="K803" s="23"/>
      <c r="L803" s="23"/>
      <c r="M803" s="23"/>
      <c r="N803" s="23"/>
      <c r="O803" s="23"/>
    </row>
    <row r="804">
      <c r="B804" s="23"/>
      <c r="C804" s="23"/>
      <c r="E804" s="24"/>
      <c r="G804" s="23"/>
      <c r="H804" s="23"/>
      <c r="I804" s="23"/>
      <c r="J804" s="23"/>
      <c r="K804" s="23"/>
      <c r="L804" s="23"/>
      <c r="M804" s="23"/>
      <c r="N804" s="23"/>
      <c r="O804" s="23"/>
    </row>
    <row r="805">
      <c r="B805" s="23"/>
      <c r="C805" s="23"/>
      <c r="E805" s="24"/>
      <c r="G805" s="23"/>
      <c r="H805" s="23"/>
      <c r="I805" s="23"/>
      <c r="J805" s="23"/>
      <c r="K805" s="23"/>
      <c r="L805" s="23"/>
      <c r="M805" s="23"/>
      <c r="N805" s="23"/>
      <c r="O805" s="23"/>
    </row>
    <row r="806">
      <c r="B806" s="23"/>
      <c r="C806" s="23"/>
      <c r="E806" s="24"/>
      <c r="G806" s="23"/>
      <c r="H806" s="23"/>
      <c r="I806" s="23"/>
      <c r="J806" s="23"/>
      <c r="K806" s="23"/>
      <c r="L806" s="23"/>
      <c r="M806" s="23"/>
      <c r="N806" s="23"/>
      <c r="O806" s="23"/>
    </row>
    <row r="807">
      <c r="B807" s="23"/>
      <c r="C807" s="23"/>
      <c r="E807" s="24"/>
      <c r="G807" s="23"/>
      <c r="H807" s="23"/>
      <c r="I807" s="23"/>
      <c r="J807" s="23"/>
      <c r="K807" s="23"/>
      <c r="L807" s="23"/>
      <c r="M807" s="23"/>
      <c r="N807" s="23"/>
      <c r="O807" s="23"/>
    </row>
    <row r="808">
      <c r="B808" s="23"/>
      <c r="C808" s="23"/>
      <c r="E808" s="24"/>
      <c r="G808" s="23"/>
      <c r="H808" s="23"/>
      <c r="I808" s="23"/>
      <c r="J808" s="23"/>
      <c r="K808" s="23"/>
      <c r="L808" s="23"/>
      <c r="M808" s="23"/>
      <c r="N808" s="23"/>
      <c r="O808" s="23"/>
    </row>
    <row r="809">
      <c r="B809" s="23"/>
      <c r="C809" s="23"/>
      <c r="E809" s="24"/>
      <c r="G809" s="23"/>
      <c r="H809" s="23"/>
      <c r="I809" s="23"/>
      <c r="J809" s="23"/>
      <c r="K809" s="23"/>
      <c r="L809" s="23"/>
      <c r="M809" s="23"/>
      <c r="N809" s="23"/>
      <c r="O809" s="23"/>
    </row>
    <row r="810">
      <c r="B810" s="23"/>
      <c r="C810" s="23"/>
      <c r="E810" s="24"/>
      <c r="G810" s="23"/>
      <c r="H810" s="23"/>
      <c r="I810" s="23"/>
      <c r="J810" s="23"/>
      <c r="K810" s="23"/>
      <c r="L810" s="23"/>
      <c r="M810" s="23"/>
      <c r="N810" s="23"/>
      <c r="O810" s="23"/>
    </row>
    <row r="811">
      <c r="B811" s="23"/>
      <c r="C811" s="23"/>
      <c r="E811" s="24"/>
      <c r="G811" s="23"/>
      <c r="H811" s="23"/>
      <c r="I811" s="23"/>
      <c r="J811" s="23"/>
      <c r="K811" s="23"/>
      <c r="L811" s="23"/>
      <c r="M811" s="23"/>
      <c r="N811" s="23"/>
      <c r="O811" s="23"/>
    </row>
    <row r="812">
      <c r="B812" s="23"/>
      <c r="C812" s="23"/>
      <c r="E812" s="24"/>
      <c r="G812" s="23"/>
      <c r="H812" s="23"/>
      <c r="I812" s="23"/>
      <c r="J812" s="23"/>
      <c r="K812" s="23"/>
      <c r="L812" s="23"/>
      <c r="M812" s="23"/>
      <c r="N812" s="23"/>
      <c r="O812" s="23"/>
    </row>
    <row r="813">
      <c r="B813" s="23"/>
      <c r="C813" s="23"/>
      <c r="E813" s="24"/>
      <c r="G813" s="23"/>
      <c r="H813" s="23"/>
      <c r="I813" s="23"/>
      <c r="J813" s="23"/>
      <c r="K813" s="23"/>
      <c r="L813" s="23"/>
      <c r="M813" s="23"/>
      <c r="N813" s="23"/>
      <c r="O813" s="23"/>
    </row>
    <row r="814">
      <c r="B814" s="23"/>
      <c r="C814" s="23"/>
      <c r="E814" s="24"/>
      <c r="G814" s="23"/>
      <c r="H814" s="23"/>
      <c r="I814" s="23"/>
      <c r="J814" s="23"/>
      <c r="K814" s="23"/>
      <c r="L814" s="23"/>
      <c r="M814" s="23"/>
      <c r="N814" s="23"/>
      <c r="O814" s="23"/>
    </row>
    <row r="815">
      <c r="B815" s="23"/>
      <c r="C815" s="23"/>
      <c r="E815" s="24"/>
      <c r="G815" s="23"/>
      <c r="H815" s="23"/>
      <c r="I815" s="23"/>
      <c r="J815" s="23"/>
      <c r="K815" s="23"/>
      <c r="L815" s="23"/>
      <c r="M815" s="23"/>
      <c r="N815" s="23"/>
      <c r="O815" s="23"/>
    </row>
    <row r="816">
      <c r="B816" s="23"/>
      <c r="C816" s="23"/>
      <c r="E816" s="24"/>
      <c r="G816" s="23"/>
      <c r="H816" s="23"/>
      <c r="I816" s="23"/>
      <c r="J816" s="23"/>
      <c r="K816" s="23"/>
      <c r="L816" s="23"/>
      <c r="M816" s="23"/>
      <c r="N816" s="23"/>
      <c r="O816" s="23"/>
    </row>
    <row r="817">
      <c r="B817" s="23"/>
      <c r="C817" s="23"/>
      <c r="E817" s="24"/>
      <c r="G817" s="23"/>
      <c r="H817" s="23"/>
      <c r="I817" s="23"/>
      <c r="J817" s="23"/>
      <c r="K817" s="23"/>
      <c r="L817" s="23"/>
      <c r="M817" s="23"/>
      <c r="N817" s="23"/>
      <c r="O817" s="23"/>
    </row>
    <row r="818">
      <c r="B818" s="23"/>
      <c r="C818" s="23"/>
      <c r="E818" s="24"/>
      <c r="G818" s="23"/>
      <c r="H818" s="23"/>
      <c r="I818" s="23"/>
      <c r="J818" s="23"/>
      <c r="K818" s="23"/>
      <c r="L818" s="23"/>
      <c r="M818" s="23"/>
      <c r="N818" s="23"/>
      <c r="O818" s="23"/>
    </row>
    <row r="819">
      <c r="B819" s="23"/>
      <c r="C819" s="23"/>
      <c r="E819" s="24"/>
      <c r="G819" s="23"/>
      <c r="H819" s="23"/>
      <c r="I819" s="23"/>
      <c r="J819" s="23"/>
      <c r="K819" s="23"/>
      <c r="L819" s="23"/>
      <c r="M819" s="23"/>
      <c r="N819" s="23"/>
      <c r="O819" s="23"/>
    </row>
    <row r="820">
      <c r="B820" s="23"/>
      <c r="C820" s="23"/>
      <c r="E820" s="24"/>
      <c r="G820" s="23"/>
      <c r="H820" s="23"/>
      <c r="I820" s="23"/>
      <c r="J820" s="23"/>
      <c r="K820" s="23"/>
      <c r="L820" s="23"/>
      <c r="M820" s="23"/>
      <c r="N820" s="23"/>
      <c r="O820" s="23"/>
    </row>
    <row r="821">
      <c r="B821" s="23"/>
      <c r="C821" s="23"/>
      <c r="E821" s="24"/>
      <c r="G821" s="23"/>
      <c r="H821" s="23"/>
      <c r="I821" s="23"/>
      <c r="J821" s="23"/>
      <c r="K821" s="23"/>
      <c r="L821" s="23"/>
      <c r="M821" s="23"/>
      <c r="N821" s="23"/>
      <c r="O821" s="23"/>
    </row>
    <row r="822">
      <c r="B822" s="23"/>
      <c r="C822" s="23"/>
      <c r="E822" s="24"/>
      <c r="G822" s="23"/>
      <c r="H822" s="23"/>
      <c r="I822" s="23"/>
      <c r="J822" s="23"/>
      <c r="K822" s="23"/>
      <c r="L822" s="23"/>
      <c r="M822" s="23"/>
      <c r="N822" s="23"/>
      <c r="O822" s="23"/>
    </row>
    <row r="823">
      <c r="B823" s="23"/>
      <c r="C823" s="23"/>
      <c r="E823" s="24"/>
      <c r="G823" s="23"/>
      <c r="H823" s="23"/>
      <c r="I823" s="23"/>
      <c r="J823" s="23"/>
      <c r="K823" s="23"/>
      <c r="L823" s="23"/>
      <c r="M823" s="23"/>
      <c r="N823" s="23"/>
      <c r="O823" s="23"/>
    </row>
    <row r="824">
      <c r="B824" s="23"/>
      <c r="C824" s="23"/>
      <c r="E824" s="24"/>
      <c r="G824" s="23"/>
      <c r="H824" s="23"/>
      <c r="I824" s="23"/>
      <c r="J824" s="23"/>
      <c r="K824" s="23"/>
      <c r="L824" s="23"/>
      <c r="M824" s="23"/>
      <c r="N824" s="23"/>
      <c r="O824" s="23"/>
    </row>
    <row r="825">
      <c r="B825" s="23"/>
      <c r="C825" s="23"/>
      <c r="E825" s="24"/>
      <c r="G825" s="23"/>
      <c r="H825" s="23"/>
      <c r="I825" s="23"/>
      <c r="J825" s="23"/>
      <c r="K825" s="23"/>
      <c r="L825" s="23"/>
      <c r="M825" s="23"/>
      <c r="N825" s="23"/>
      <c r="O825" s="23"/>
    </row>
    <row r="826">
      <c r="B826" s="23"/>
      <c r="C826" s="23"/>
      <c r="E826" s="24"/>
      <c r="G826" s="23"/>
      <c r="H826" s="23"/>
      <c r="I826" s="23"/>
      <c r="J826" s="23"/>
      <c r="K826" s="23"/>
      <c r="L826" s="23"/>
      <c r="M826" s="23"/>
      <c r="N826" s="23"/>
      <c r="O826" s="23"/>
    </row>
    <row r="827">
      <c r="B827" s="23"/>
      <c r="C827" s="23"/>
      <c r="E827" s="24"/>
      <c r="G827" s="23"/>
      <c r="H827" s="23"/>
      <c r="I827" s="23"/>
      <c r="J827" s="23"/>
      <c r="K827" s="23"/>
      <c r="L827" s="23"/>
      <c r="M827" s="23"/>
      <c r="N827" s="23"/>
      <c r="O827" s="23"/>
    </row>
    <row r="828">
      <c r="B828" s="23"/>
      <c r="C828" s="23"/>
      <c r="E828" s="24"/>
      <c r="G828" s="23"/>
      <c r="H828" s="23"/>
      <c r="I828" s="23"/>
      <c r="J828" s="23"/>
      <c r="K828" s="23"/>
      <c r="L828" s="23"/>
      <c r="M828" s="23"/>
      <c r="N828" s="23"/>
      <c r="O828" s="23"/>
    </row>
    <row r="829">
      <c r="B829" s="23"/>
      <c r="C829" s="23"/>
      <c r="E829" s="24"/>
      <c r="G829" s="23"/>
      <c r="H829" s="23"/>
      <c r="I829" s="23"/>
      <c r="J829" s="23"/>
      <c r="K829" s="23"/>
      <c r="L829" s="23"/>
      <c r="M829" s="23"/>
      <c r="N829" s="23"/>
      <c r="O829" s="23"/>
    </row>
    <row r="830">
      <c r="B830" s="23"/>
      <c r="C830" s="23"/>
      <c r="E830" s="24"/>
      <c r="G830" s="23"/>
      <c r="H830" s="23"/>
      <c r="I830" s="23"/>
      <c r="J830" s="23"/>
      <c r="K830" s="23"/>
      <c r="L830" s="23"/>
      <c r="M830" s="23"/>
      <c r="N830" s="23"/>
      <c r="O830" s="23"/>
    </row>
    <row r="831">
      <c r="B831" s="23"/>
      <c r="C831" s="23"/>
      <c r="E831" s="24"/>
      <c r="G831" s="23"/>
      <c r="H831" s="23"/>
      <c r="I831" s="23"/>
      <c r="J831" s="23"/>
      <c r="K831" s="23"/>
      <c r="L831" s="23"/>
      <c r="M831" s="23"/>
      <c r="N831" s="23"/>
      <c r="O831" s="23"/>
    </row>
    <row r="832">
      <c r="B832" s="23"/>
      <c r="C832" s="23"/>
      <c r="E832" s="24"/>
      <c r="G832" s="23"/>
      <c r="H832" s="23"/>
      <c r="I832" s="23"/>
      <c r="J832" s="23"/>
      <c r="K832" s="23"/>
      <c r="L832" s="23"/>
      <c r="M832" s="23"/>
      <c r="N832" s="23"/>
      <c r="O832" s="23"/>
    </row>
    <row r="833">
      <c r="B833" s="23"/>
      <c r="C833" s="23"/>
      <c r="E833" s="24"/>
      <c r="G833" s="23"/>
      <c r="H833" s="23"/>
      <c r="I833" s="23"/>
      <c r="J833" s="23"/>
      <c r="K833" s="23"/>
      <c r="L833" s="23"/>
      <c r="M833" s="23"/>
      <c r="N833" s="23"/>
      <c r="O833" s="23"/>
    </row>
    <row r="834">
      <c r="B834" s="23"/>
      <c r="C834" s="23"/>
      <c r="E834" s="24"/>
      <c r="G834" s="23"/>
      <c r="H834" s="23"/>
      <c r="I834" s="23"/>
      <c r="J834" s="23"/>
      <c r="K834" s="23"/>
      <c r="L834" s="23"/>
      <c r="M834" s="23"/>
      <c r="N834" s="23"/>
      <c r="O834" s="23"/>
    </row>
    <row r="835">
      <c r="B835" s="23"/>
      <c r="C835" s="23"/>
      <c r="E835" s="24"/>
      <c r="G835" s="23"/>
      <c r="H835" s="23"/>
      <c r="I835" s="23"/>
      <c r="J835" s="23"/>
      <c r="K835" s="23"/>
      <c r="L835" s="23"/>
      <c r="M835" s="23"/>
      <c r="N835" s="23"/>
      <c r="O835" s="23"/>
    </row>
    <row r="836">
      <c r="B836" s="23"/>
      <c r="C836" s="23"/>
      <c r="E836" s="24"/>
      <c r="G836" s="23"/>
      <c r="H836" s="23"/>
      <c r="I836" s="23"/>
      <c r="J836" s="23"/>
      <c r="K836" s="23"/>
      <c r="L836" s="23"/>
      <c r="M836" s="23"/>
      <c r="N836" s="23"/>
      <c r="O836" s="23"/>
    </row>
    <row r="837">
      <c r="B837" s="23"/>
      <c r="C837" s="23"/>
      <c r="E837" s="24"/>
      <c r="G837" s="23"/>
      <c r="H837" s="23"/>
      <c r="I837" s="23"/>
      <c r="J837" s="23"/>
      <c r="K837" s="23"/>
      <c r="L837" s="23"/>
      <c r="M837" s="23"/>
      <c r="N837" s="23"/>
      <c r="O837" s="23"/>
    </row>
    <row r="838">
      <c r="B838" s="23"/>
      <c r="C838" s="23"/>
      <c r="E838" s="24"/>
      <c r="G838" s="23"/>
      <c r="H838" s="23"/>
      <c r="I838" s="23"/>
      <c r="J838" s="23"/>
      <c r="K838" s="23"/>
      <c r="L838" s="23"/>
      <c r="M838" s="23"/>
      <c r="N838" s="23"/>
      <c r="O838" s="23"/>
    </row>
    <row r="839">
      <c r="B839" s="23"/>
      <c r="C839" s="23"/>
      <c r="E839" s="24"/>
      <c r="G839" s="23"/>
      <c r="H839" s="23"/>
      <c r="I839" s="23"/>
      <c r="J839" s="23"/>
      <c r="K839" s="23"/>
      <c r="L839" s="23"/>
      <c r="M839" s="23"/>
      <c r="N839" s="23"/>
      <c r="O839" s="23"/>
    </row>
    <row r="840">
      <c r="B840" s="23"/>
      <c r="C840" s="23"/>
      <c r="E840" s="24"/>
      <c r="G840" s="23"/>
      <c r="H840" s="23"/>
      <c r="I840" s="23"/>
      <c r="J840" s="23"/>
      <c r="K840" s="23"/>
      <c r="L840" s="23"/>
      <c r="M840" s="23"/>
      <c r="N840" s="23"/>
      <c r="O840" s="23"/>
    </row>
    <row r="841">
      <c r="B841" s="23"/>
      <c r="C841" s="23"/>
      <c r="E841" s="24"/>
      <c r="G841" s="23"/>
      <c r="H841" s="23"/>
      <c r="I841" s="23"/>
      <c r="J841" s="23"/>
      <c r="K841" s="23"/>
      <c r="L841" s="23"/>
      <c r="M841" s="23"/>
      <c r="N841" s="23"/>
      <c r="O841" s="23"/>
    </row>
    <row r="842">
      <c r="B842" s="23"/>
      <c r="C842" s="23"/>
      <c r="E842" s="24"/>
      <c r="G842" s="23"/>
      <c r="H842" s="23"/>
      <c r="I842" s="23"/>
      <c r="J842" s="23"/>
      <c r="K842" s="23"/>
      <c r="L842" s="23"/>
      <c r="M842" s="23"/>
      <c r="N842" s="23"/>
      <c r="O842" s="23"/>
    </row>
    <row r="843">
      <c r="B843" s="23"/>
      <c r="C843" s="23"/>
      <c r="E843" s="24"/>
      <c r="G843" s="23"/>
      <c r="H843" s="23"/>
      <c r="I843" s="23"/>
      <c r="J843" s="23"/>
      <c r="K843" s="23"/>
      <c r="L843" s="23"/>
      <c r="M843" s="23"/>
      <c r="N843" s="23"/>
      <c r="O843" s="23"/>
    </row>
    <row r="844">
      <c r="B844" s="23"/>
      <c r="C844" s="23"/>
      <c r="E844" s="24"/>
      <c r="G844" s="23"/>
      <c r="H844" s="23"/>
      <c r="I844" s="23"/>
      <c r="J844" s="23"/>
      <c r="K844" s="23"/>
      <c r="L844" s="23"/>
      <c r="M844" s="23"/>
      <c r="N844" s="23"/>
      <c r="O844" s="23"/>
    </row>
    <row r="845">
      <c r="B845" s="23"/>
      <c r="C845" s="23"/>
      <c r="E845" s="24"/>
      <c r="G845" s="23"/>
      <c r="H845" s="23"/>
      <c r="I845" s="23"/>
      <c r="J845" s="23"/>
      <c r="K845" s="23"/>
      <c r="L845" s="23"/>
      <c r="M845" s="23"/>
      <c r="N845" s="23"/>
      <c r="O845" s="23"/>
    </row>
    <row r="846">
      <c r="B846" s="23"/>
      <c r="C846" s="23"/>
      <c r="E846" s="24"/>
      <c r="G846" s="23"/>
      <c r="H846" s="23"/>
      <c r="I846" s="23"/>
      <c r="J846" s="23"/>
      <c r="K846" s="23"/>
      <c r="L846" s="23"/>
      <c r="M846" s="23"/>
      <c r="N846" s="23"/>
      <c r="O846" s="23"/>
    </row>
    <row r="847">
      <c r="B847" s="23"/>
      <c r="C847" s="23"/>
      <c r="E847" s="24"/>
      <c r="G847" s="23"/>
      <c r="H847" s="23"/>
      <c r="I847" s="23"/>
      <c r="J847" s="23"/>
      <c r="K847" s="23"/>
      <c r="L847" s="23"/>
      <c r="M847" s="23"/>
      <c r="N847" s="23"/>
      <c r="O847" s="23"/>
    </row>
    <row r="848">
      <c r="B848" s="23"/>
      <c r="C848" s="23"/>
      <c r="E848" s="24"/>
      <c r="G848" s="23"/>
      <c r="H848" s="23"/>
      <c r="I848" s="23"/>
      <c r="J848" s="23"/>
      <c r="K848" s="23"/>
      <c r="L848" s="23"/>
      <c r="M848" s="23"/>
      <c r="N848" s="23"/>
      <c r="O848" s="23"/>
    </row>
    <row r="849">
      <c r="B849" s="23"/>
      <c r="C849" s="23"/>
      <c r="E849" s="24"/>
      <c r="G849" s="23"/>
      <c r="H849" s="23"/>
      <c r="I849" s="23"/>
      <c r="J849" s="23"/>
      <c r="K849" s="23"/>
      <c r="L849" s="23"/>
      <c r="M849" s="23"/>
      <c r="N849" s="23"/>
      <c r="O849" s="23"/>
    </row>
    <row r="850">
      <c r="B850" s="23"/>
      <c r="C850" s="23"/>
      <c r="E850" s="24"/>
      <c r="G850" s="23"/>
      <c r="H850" s="23"/>
      <c r="I850" s="23"/>
      <c r="J850" s="23"/>
      <c r="K850" s="23"/>
      <c r="L850" s="23"/>
      <c r="M850" s="23"/>
      <c r="N850" s="23"/>
      <c r="O850" s="23"/>
    </row>
    <row r="851">
      <c r="B851" s="23"/>
      <c r="C851" s="23"/>
      <c r="E851" s="24"/>
      <c r="G851" s="23"/>
      <c r="H851" s="23"/>
      <c r="I851" s="23"/>
      <c r="J851" s="23"/>
      <c r="K851" s="23"/>
      <c r="L851" s="23"/>
      <c r="M851" s="23"/>
      <c r="N851" s="23"/>
      <c r="O851" s="23"/>
    </row>
    <row r="852">
      <c r="B852" s="23"/>
      <c r="C852" s="23"/>
      <c r="E852" s="24"/>
      <c r="G852" s="23"/>
      <c r="H852" s="23"/>
      <c r="I852" s="23"/>
      <c r="J852" s="23"/>
      <c r="K852" s="23"/>
      <c r="L852" s="23"/>
      <c r="M852" s="23"/>
      <c r="N852" s="23"/>
      <c r="O852" s="23"/>
    </row>
    <row r="853">
      <c r="B853" s="23"/>
      <c r="C853" s="23"/>
      <c r="E853" s="24"/>
      <c r="G853" s="23"/>
      <c r="H853" s="23"/>
      <c r="I853" s="23"/>
      <c r="J853" s="23"/>
      <c r="K853" s="23"/>
      <c r="L853" s="23"/>
      <c r="M853" s="23"/>
      <c r="N853" s="23"/>
      <c r="O853" s="23"/>
    </row>
    <row r="854">
      <c r="B854" s="23"/>
      <c r="C854" s="23"/>
      <c r="E854" s="24"/>
      <c r="G854" s="23"/>
      <c r="H854" s="23"/>
      <c r="I854" s="23"/>
      <c r="J854" s="23"/>
      <c r="K854" s="23"/>
      <c r="L854" s="23"/>
      <c r="M854" s="23"/>
      <c r="N854" s="23"/>
      <c r="O854" s="23"/>
    </row>
    <row r="855">
      <c r="B855" s="23"/>
      <c r="C855" s="23"/>
      <c r="E855" s="24"/>
      <c r="G855" s="23"/>
      <c r="H855" s="23"/>
      <c r="I855" s="23"/>
      <c r="J855" s="23"/>
      <c r="K855" s="23"/>
      <c r="L855" s="23"/>
      <c r="M855" s="23"/>
      <c r="N855" s="23"/>
      <c r="O855" s="23"/>
    </row>
    <row r="856">
      <c r="B856" s="23"/>
      <c r="C856" s="23"/>
      <c r="E856" s="24"/>
      <c r="G856" s="23"/>
      <c r="H856" s="23"/>
      <c r="I856" s="23"/>
      <c r="J856" s="23"/>
      <c r="K856" s="23"/>
      <c r="L856" s="23"/>
      <c r="M856" s="23"/>
      <c r="N856" s="23"/>
      <c r="O856" s="23"/>
    </row>
    <row r="857">
      <c r="B857" s="23"/>
      <c r="C857" s="23"/>
      <c r="E857" s="24"/>
      <c r="G857" s="23"/>
      <c r="H857" s="23"/>
      <c r="I857" s="23"/>
      <c r="J857" s="23"/>
      <c r="K857" s="23"/>
      <c r="L857" s="23"/>
      <c r="M857" s="23"/>
      <c r="N857" s="23"/>
      <c r="O857" s="23"/>
    </row>
    <row r="858">
      <c r="B858" s="23"/>
      <c r="C858" s="23"/>
      <c r="E858" s="24"/>
      <c r="G858" s="23"/>
      <c r="H858" s="23"/>
      <c r="I858" s="23"/>
      <c r="J858" s="23"/>
      <c r="K858" s="23"/>
      <c r="L858" s="23"/>
      <c r="M858" s="23"/>
      <c r="N858" s="23"/>
      <c r="O858" s="23"/>
    </row>
    <row r="859">
      <c r="B859" s="23"/>
      <c r="C859" s="23"/>
      <c r="E859" s="24"/>
      <c r="G859" s="23"/>
      <c r="H859" s="23"/>
      <c r="I859" s="23"/>
      <c r="J859" s="23"/>
      <c r="K859" s="23"/>
      <c r="L859" s="23"/>
      <c r="M859" s="23"/>
      <c r="N859" s="23"/>
      <c r="O859" s="23"/>
    </row>
    <row r="860">
      <c r="B860" s="23"/>
      <c r="C860" s="23"/>
      <c r="E860" s="24"/>
      <c r="G860" s="23"/>
      <c r="H860" s="23"/>
      <c r="I860" s="23"/>
      <c r="J860" s="23"/>
      <c r="K860" s="23"/>
      <c r="L860" s="23"/>
      <c r="M860" s="23"/>
      <c r="N860" s="23"/>
      <c r="O860" s="23"/>
    </row>
    <row r="861">
      <c r="B861" s="23"/>
      <c r="C861" s="23"/>
      <c r="E861" s="24"/>
      <c r="G861" s="23"/>
      <c r="H861" s="23"/>
      <c r="I861" s="23"/>
      <c r="J861" s="23"/>
      <c r="K861" s="23"/>
      <c r="L861" s="23"/>
      <c r="M861" s="23"/>
      <c r="N861" s="23"/>
      <c r="O861" s="23"/>
    </row>
    <row r="862">
      <c r="B862" s="23"/>
      <c r="C862" s="23"/>
      <c r="E862" s="24"/>
      <c r="G862" s="23"/>
      <c r="H862" s="23"/>
      <c r="I862" s="23"/>
      <c r="J862" s="23"/>
      <c r="K862" s="23"/>
      <c r="L862" s="23"/>
      <c r="M862" s="23"/>
      <c r="N862" s="23"/>
      <c r="O862" s="23"/>
    </row>
    <row r="863">
      <c r="B863" s="23"/>
      <c r="C863" s="23"/>
      <c r="E863" s="24"/>
      <c r="G863" s="23"/>
      <c r="H863" s="23"/>
      <c r="I863" s="23"/>
      <c r="J863" s="23"/>
      <c r="K863" s="23"/>
      <c r="L863" s="23"/>
      <c r="M863" s="23"/>
      <c r="N863" s="23"/>
      <c r="O863" s="23"/>
    </row>
    <row r="864">
      <c r="B864" s="23"/>
      <c r="C864" s="23"/>
      <c r="E864" s="24"/>
      <c r="G864" s="23"/>
      <c r="H864" s="23"/>
      <c r="I864" s="23"/>
      <c r="J864" s="23"/>
      <c r="K864" s="23"/>
      <c r="L864" s="23"/>
      <c r="M864" s="23"/>
      <c r="N864" s="23"/>
      <c r="O864" s="23"/>
    </row>
    <row r="865">
      <c r="B865" s="23"/>
      <c r="C865" s="23"/>
      <c r="E865" s="24"/>
      <c r="G865" s="23"/>
      <c r="H865" s="23"/>
      <c r="I865" s="23"/>
      <c r="J865" s="23"/>
      <c r="K865" s="23"/>
      <c r="L865" s="23"/>
      <c r="M865" s="23"/>
      <c r="N865" s="23"/>
      <c r="O865" s="23"/>
    </row>
    <row r="866">
      <c r="B866" s="23"/>
      <c r="C866" s="23"/>
      <c r="E866" s="24"/>
      <c r="G866" s="23"/>
      <c r="H866" s="23"/>
      <c r="I866" s="23"/>
      <c r="J866" s="23"/>
      <c r="K866" s="23"/>
      <c r="L866" s="23"/>
      <c r="M866" s="23"/>
      <c r="N866" s="23"/>
      <c r="O866" s="23"/>
    </row>
    <row r="867">
      <c r="B867" s="23"/>
      <c r="C867" s="23"/>
      <c r="E867" s="24"/>
      <c r="G867" s="23"/>
      <c r="H867" s="23"/>
      <c r="I867" s="23"/>
      <c r="J867" s="23"/>
      <c r="K867" s="23"/>
      <c r="L867" s="23"/>
      <c r="M867" s="23"/>
      <c r="N867" s="23"/>
      <c r="O867" s="23"/>
    </row>
    <row r="868">
      <c r="B868" s="23"/>
      <c r="C868" s="23"/>
      <c r="E868" s="24"/>
      <c r="G868" s="23"/>
      <c r="H868" s="23"/>
      <c r="I868" s="23"/>
      <c r="J868" s="23"/>
      <c r="K868" s="23"/>
      <c r="L868" s="23"/>
      <c r="M868" s="23"/>
      <c r="N868" s="23"/>
      <c r="O868" s="23"/>
    </row>
    <row r="869">
      <c r="B869" s="23"/>
      <c r="C869" s="23"/>
      <c r="E869" s="24"/>
      <c r="G869" s="23"/>
      <c r="H869" s="23"/>
      <c r="I869" s="23"/>
      <c r="J869" s="23"/>
      <c r="K869" s="23"/>
      <c r="L869" s="23"/>
      <c r="M869" s="23"/>
      <c r="N869" s="23"/>
      <c r="O869" s="23"/>
    </row>
    <row r="870">
      <c r="B870" s="23"/>
      <c r="C870" s="23"/>
      <c r="E870" s="24"/>
      <c r="G870" s="23"/>
      <c r="H870" s="23"/>
      <c r="I870" s="23"/>
      <c r="J870" s="23"/>
      <c r="K870" s="23"/>
      <c r="L870" s="23"/>
      <c r="M870" s="23"/>
      <c r="N870" s="23"/>
      <c r="O870" s="23"/>
    </row>
    <row r="871">
      <c r="B871" s="23"/>
      <c r="C871" s="23"/>
      <c r="E871" s="24"/>
      <c r="G871" s="23"/>
      <c r="H871" s="23"/>
      <c r="I871" s="23"/>
      <c r="J871" s="23"/>
      <c r="K871" s="23"/>
      <c r="L871" s="23"/>
      <c r="M871" s="23"/>
      <c r="N871" s="23"/>
      <c r="O871" s="23"/>
    </row>
    <row r="872">
      <c r="B872" s="23"/>
      <c r="C872" s="23"/>
      <c r="E872" s="24"/>
      <c r="G872" s="23"/>
      <c r="H872" s="23"/>
      <c r="I872" s="23"/>
      <c r="J872" s="23"/>
      <c r="K872" s="23"/>
      <c r="L872" s="23"/>
      <c r="M872" s="23"/>
      <c r="N872" s="23"/>
      <c r="O872" s="23"/>
    </row>
    <row r="873">
      <c r="B873" s="23"/>
      <c r="C873" s="23"/>
      <c r="E873" s="24"/>
      <c r="G873" s="23"/>
      <c r="H873" s="23"/>
      <c r="I873" s="23"/>
      <c r="J873" s="23"/>
      <c r="K873" s="23"/>
      <c r="L873" s="23"/>
      <c r="M873" s="23"/>
      <c r="N873" s="23"/>
      <c r="O873" s="23"/>
    </row>
    <row r="874">
      <c r="B874" s="23"/>
      <c r="C874" s="23"/>
      <c r="E874" s="24"/>
      <c r="G874" s="23"/>
      <c r="H874" s="23"/>
      <c r="I874" s="23"/>
      <c r="J874" s="23"/>
      <c r="K874" s="23"/>
      <c r="L874" s="23"/>
      <c r="M874" s="23"/>
      <c r="N874" s="23"/>
      <c r="O874" s="23"/>
    </row>
    <row r="875">
      <c r="B875" s="23"/>
      <c r="C875" s="23"/>
      <c r="E875" s="24"/>
      <c r="G875" s="23"/>
      <c r="H875" s="23"/>
      <c r="I875" s="23"/>
      <c r="J875" s="23"/>
      <c r="K875" s="23"/>
      <c r="L875" s="23"/>
      <c r="M875" s="23"/>
      <c r="N875" s="23"/>
      <c r="O875" s="23"/>
    </row>
    <row r="876">
      <c r="B876" s="23"/>
      <c r="C876" s="23"/>
      <c r="E876" s="24"/>
      <c r="G876" s="23"/>
      <c r="H876" s="23"/>
      <c r="I876" s="23"/>
      <c r="J876" s="23"/>
      <c r="K876" s="23"/>
      <c r="L876" s="23"/>
      <c r="M876" s="23"/>
      <c r="N876" s="23"/>
      <c r="O876" s="23"/>
    </row>
    <row r="877">
      <c r="B877" s="23"/>
      <c r="C877" s="23"/>
      <c r="E877" s="24"/>
      <c r="G877" s="23"/>
      <c r="H877" s="23"/>
      <c r="I877" s="23"/>
      <c r="J877" s="23"/>
      <c r="K877" s="23"/>
      <c r="L877" s="23"/>
      <c r="M877" s="23"/>
      <c r="N877" s="23"/>
      <c r="O877" s="23"/>
    </row>
    <row r="878">
      <c r="B878" s="23"/>
      <c r="C878" s="23"/>
      <c r="E878" s="24"/>
      <c r="G878" s="23"/>
      <c r="H878" s="23"/>
      <c r="I878" s="23"/>
      <c r="J878" s="23"/>
      <c r="K878" s="23"/>
      <c r="L878" s="23"/>
      <c r="M878" s="23"/>
      <c r="N878" s="23"/>
      <c r="O878" s="23"/>
    </row>
    <row r="879">
      <c r="B879" s="23"/>
      <c r="C879" s="23"/>
      <c r="E879" s="24"/>
      <c r="G879" s="23"/>
      <c r="H879" s="23"/>
      <c r="I879" s="23"/>
      <c r="J879" s="23"/>
      <c r="K879" s="23"/>
      <c r="L879" s="23"/>
      <c r="M879" s="23"/>
      <c r="N879" s="23"/>
      <c r="O879" s="23"/>
    </row>
    <row r="880">
      <c r="B880" s="23"/>
      <c r="C880" s="23"/>
      <c r="E880" s="24"/>
      <c r="G880" s="23"/>
      <c r="H880" s="23"/>
      <c r="I880" s="23"/>
      <c r="J880" s="23"/>
      <c r="K880" s="23"/>
      <c r="L880" s="23"/>
      <c r="M880" s="23"/>
      <c r="N880" s="23"/>
      <c r="O880" s="23"/>
    </row>
    <row r="881">
      <c r="B881" s="23"/>
      <c r="C881" s="23"/>
      <c r="E881" s="24"/>
      <c r="G881" s="23"/>
      <c r="H881" s="23"/>
      <c r="I881" s="23"/>
      <c r="J881" s="23"/>
      <c r="K881" s="23"/>
      <c r="L881" s="23"/>
      <c r="M881" s="23"/>
      <c r="N881" s="23"/>
      <c r="O881" s="23"/>
    </row>
    <row r="882">
      <c r="B882" s="23"/>
      <c r="C882" s="23"/>
      <c r="E882" s="24"/>
      <c r="G882" s="23"/>
      <c r="H882" s="23"/>
      <c r="I882" s="23"/>
      <c r="J882" s="23"/>
      <c r="K882" s="23"/>
      <c r="L882" s="23"/>
      <c r="M882" s="23"/>
      <c r="N882" s="23"/>
      <c r="O882" s="23"/>
    </row>
    <row r="883">
      <c r="B883" s="23"/>
      <c r="C883" s="23"/>
      <c r="E883" s="24"/>
      <c r="G883" s="23"/>
      <c r="H883" s="23"/>
      <c r="I883" s="23"/>
      <c r="J883" s="23"/>
      <c r="K883" s="23"/>
      <c r="L883" s="23"/>
      <c r="M883" s="23"/>
      <c r="N883" s="23"/>
      <c r="O883" s="23"/>
    </row>
    <row r="884">
      <c r="B884" s="23"/>
      <c r="C884" s="23"/>
      <c r="E884" s="24"/>
      <c r="G884" s="23"/>
      <c r="H884" s="23"/>
      <c r="I884" s="23"/>
      <c r="J884" s="23"/>
      <c r="K884" s="23"/>
      <c r="L884" s="23"/>
      <c r="M884" s="23"/>
      <c r="N884" s="23"/>
      <c r="O884" s="23"/>
    </row>
    <row r="885">
      <c r="B885" s="23"/>
      <c r="C885" s="23"/>
      <c r="E885" s="24"/>
      <c r="G885" s="23"/>
      <c r="H885" s="23"/>
      <c r="I885" s="23"/>
      <c r="J885" s="23"/>
      <c r="K885" s="23"/>
      <c r="L885" s="23"/>
      <c r="M885" s="23"/>
      <c r="N885" s="23"/>
      <c r="O885" s="23"/>
    </row>
    <row r="886">
      <c r="B886" s="23"/>
      <c r="C886" s="23"/>
      <c r="E886" s="24"/>
      <c r="G886" s="23"/>
      <c r="H886" s="23"/>
      <c r="I886" s="23"/>
      <c r="J886" s="23"/>
      <c r="K886" s="23"/>
      <c r="L886" s="23"/>
      <c r="M886" s="23"/>
      <c r="N886" s="23"/>
      <c r="O886" s="23"/>
    </row>
    <row r="887">
      <c r="B887" s="23"/>
      <c r="C887" s="23"/>
      <c r="E887" s="24"/>
      <c r="G887" s="23"/>
      <c r="H887" s="23"/>
      <c r="I887" s="23"/>
      <c r="J887" s="23"/>
      <c r="K887" s="23"/>
      <c r="L887" s="23"/>
      <c r="M887" s="23"/>
      <c r="N887" s="23"/>
      <c r="O887" s="23"/>
    </row>
    <row r="888">
      <c r="B888" s="23"/>
      <c r="C888" s="23"/>
      <c r="E888" s="24"/>
      <c r="G888" s="23"/>
      <c r="H888" s="23"/>
      <c r="I888" s="23"/>
      <c r="J888" s="23"/>
      <c r="K888" s="23"/>
      <c r="L888" s="23"/>
      <c r="M888" s="23"/>
      <c r="N888" s="23"/>
      <c r="O888" s="23"/>
    </row>
    <row r="889">
      <c r="B889" s="23"/>
      <c r="C889" s="23"/>
      <c r="E889" s="24"/>
      <c r="G889" s="23"/>
      <c r="H889" s="23"/>
      <c r="I889" s="23"/>
      <c r="J889" s="23"/>
      <c r="K889" s="23"/>
      <c r="L889" s="23"/>
      <c r="M889" s="23"/>
      <c r="N889" s="23"/>
      <c r="O889" s="23"/>
    </row>
    <row r="890">
      <c r="B890" s="23"/>
      <c r="C890" s="23"/>
      <c r="E890" s="24"/>
      <c r="G890" s="23"/>
      <c r="H890" s="23"/>
      <c r="I890" s="23"/>
      <c r="J890" s="23"/>
      <c r="K890" s="23"/>
      <c r="L890" s="23"/>
      <c r="M890" s="23"/>
      <c r="N890" s="23"/>
      <c r="O890" s="23"/>
    </row>
    <row r="891">
      <c r="B891" s="23"/>
      <c r="C891" s="23"/>
      <c r="E891" s="24"/>
      <c r="G891" s="23"/>
      <c r="H891" s="23"/>
      <c r="I891" s="23"/>
      <c r="J891" s="23"/>
      <c r="K891" s="23"/>
      <c r="L891" s="23"/>
      <c r="M891" s="23"/>
      <c r="N891" s="23"/>
      <c r="O891" s="23"/>
    </row>
    <row r="892">
      <c r="B892" s="23"/>
      <c r="C892" s="23"/>
      <c r="E892" s="24"/>
      <c r="G892" s="23"/>
      <c r="H892" s="23"/>
      <c r="I892" s="23"/>
      <c r="J892" s="23"/>
      <c r="K892" s="23"/>
      <c r="L892" s="23"/>
      <c r="M892" s="23"/>
      <c r="N892" s="23"/>
      <c r="O892" s="23"/>
    </row>
    <row r="893">
      <c r="B893" s="23"/>
      <c r="C893" s="23"/>
      <c r="E893" s="24"/>
      <c r="G893" s="23"/>
      <c r="H893" s="23"/>
      <c r="I893" s="23"/>
      <c r="J893" s="23"/>
      <c r="K893" s="23"/>
      <c r="L893" s="23"/>
      <c r="M893" s="23"/>
      <c r="N893" s="23"/>
      <c r="O893" s="23"/>
    </row>
    <row r="894">
      <c r="B894" s="23"/>
      <c r="C894" s="23"/>
      <c r="E894" s="24"/>
      <c r="G894" s="23"/>
      <c r="H894" s="23"/>
      <c r="I894" s="23"/>
      <c r="J894" s="23"/>
      <c r="K894" s="23"/>
      <c r="L894" s="23"/>
      <c r="M894" s="23"/>
      <c r="N894" s="23"/>
      <c r="O894" s="23"/>
    </row>
    <row r="895">
      <c r="B895" s="23"/>
      <c r="C895" s="23"/>
      <c r="E895" s="24"/>
      <c r="G895" s="23"/>
      <c r="H895" s="23"/>
      <c r="I895" s="23"/>
      <c r="J895" s="23"/>
      <c r="K895" s="23"/>
      <c r="L895" s="23"/>
      <c r="M895" s="23"/>
      <c r="N895" s="23"/>
      <c r="O895" s="23"/>
    </row>
    <row r="896">
      <c r="B896" s="23"/>
      <c r="C896" s="23"/>
      <c r="E896" s="24"/>
      <c r="G896" s="23"/>
      <c r="H896" s="23"/>
      <c r="I896" s="23"/>
      <c r="J896" s="23"/>
      <c r="K896" s="23"/>
      <c r="L896" s="23"/>
      <c r="M896" s="23"/>
      <c r="N896" s="23"/>
      <c r="O896" s="23"/>
    </row>
    <row r="897">
      <c r="B897" s="23"/>
      <c r="C897" s="23"/>
      <c r="E897" s="24"/>
      <c r="G897" s="23"/>
      <c r="H897" s="23"/>
      <c r="I897" s="23"/>
      <c r="J897" s="23"/>
      <c r="K897" s="23"/>
      <c r="L897" s="23"/>
      <c r="M897" s="23"/>
      <c r="N897" s="23"/>
      <c r="O897" s="23"/>
    </row>
    <row r="898">
      <c r="B898" s="23"/>
      <c r="C898" s="23"/>
      <c r="E898" s="24"/>
      <c r="G898" s="23"/>
      <c r="H898" s="23"/>
      <c r="I898" s="23"/>
      <c r="J898" s="23"/>
      <c r="K898" s="23"/>
      <c r="L898" s="23"/>
      <c r="M898" s="23"/>
      <c r="N898" s="23"/>
      <c r="O898" s="23"/>
    </row>
    <row r="899">
      <c r="B899" s="23"/>
      <c r="C899" s="23"/>
      <c r="E899" s="24"/>
      <c r="G899" s="23"/>
      <c r="H899" s="23"/>
      <c r="I899" s="23"/>
      <c r="J899" s="23"/>
      <c r="K899" s="23"/>
      <c r="L899" s="23"/>
      <c r="M899" s="23"/>
      <c r="N899" s="23"/>
      <c r="O899" s="23"/>
    </row>
    <row r="900">
      <c r="B900" s="23"/>
      <c r="C900" s="23"/>
      <c r="E900" s="24"/>
      <c r="G900" s="23"/>
      <c r="H900" s="23"/>
      <c r="I900" s="23"/>
      <c r="J900" s="23"/>
      <c r="K900" s="23"/>
      <c r="L900" s="23"/>
      <c r="M900" s="23"/>
      <c r="N900" s="23"/>
      <c r="O900" s="23"/>
    </row>
    <row r="901">
      <c r="B901" s="23"/>
      <c r="C901" s="23"/>
      <c r="E901" s="24"/>
      <c r="G901" s="23"/>
      <c r="H901" s="23"/>
      <c r="I901" s="23"/>
      <c r="J901" s="23"/>
      <c r="K901" s="23"/>
      <c r="L901" s="23"/>
      <c r="M901" s="23"/>
      <c r="N901" s="23"/>
      <c r="O901" s="23"/>
    </row>
    <row r="902">
      <c r="B902" s="23"/>
      <c r="C902" s="23"/>
      <c r="E902" s="24"/>
      <c r="G902" s="23"/>
      <c r="H902" s="23"/>
      <c r="I902" s="23"/>
      <c r="J902" s="23"/>
      <c r="K902" s="23"/>
      <c r="L902" s="23"/>
      <c r="M902" s="23"/>
      <c r="N902" s="23"/>
      <c r="O902" s="23"/>
    </row>
    <row r="903">
      <c r="B903" s="23"/>
      <c r="C903" s="23"/>
      <c r="E903" s="24"/>
      <c r="G903" s="23"/>
      <c r="H903" s="23"/>
      <c r="I903" s="23"/>
      <c r="J903" s="23"/>
      <c r="K903" s="23"/>
      <c r="L903" s="23"/>
      <c r="M903" s="23"/>
      <c r="N903" s="23"/>
      <c r="O903" s="23"/>
    </row>
    <row r="904">
      <c r="B904" s="23"/>
      <c r="C904" s="23"/>
      <c r="E904" s="24"/>
      <c r="G904" s="23"/>
      <c r="H904" s="23"/>
      <c r="I904" s="23"/>
      <c r="J904" s="23"/>
      <c r="K904" s="23"/>
      <c r="L904" s="23"/>
      <c r="M904" s="23"/>
      <c r="N904" s="23"/>
      <c r="O904" s="23"/>
    </row>
    <row r="905">
      <c r="B905" s="23"/>
      <c r="C905" s="23"/>
      <c r="E905" s="24"/>
      <c r="G905" s="23"/>
      <c r="H905" s="23"/>
      <c r="I905" s="23"/>
      <c r="J905" s="23"/>
      <c r="K905" s="23"/>
      <c r="L905" s="23"/>
      <c r="M905" s="23"/>
      <c r="N905" s="23"/>
      <c r="O905" s="23"/>
    </row>
    <row r="906">
      <c r="B906" s="23"/>
      <c r="C906" s="23"/>
      <c r="E906" s="24"/>
      <c r="G906" s="23"/>
      <c r="H906" s="23"/>
      <c r="I906" s="23"/>
      <c r="J906" s="23"/>
      <c r="K906" s="23"/>
      <c r="L906" s="23"/>
      <c r="M906" s="23"/>
      <c r="N906" s="23"/>
      <c r="O906" s="23"/>
    </row>
    <row r="907">
      <c r="B907" s="23"/>
      <c r="C907" s="23"/>
      <c r="E907" s="24"/>
      <c r="G907" s="23"/>
      <c r="H907" s="23"/>
      <c r="I907" s="23"/>
      <c r="J907" s="23"/>
      <c r="K907" s="23"/>
      <c r="L907" s="23"/>
      <c r="M907" s="23"/>
      <c r="N907" s="23"/>
      <c r="O907" s="23"/>
    </row>
    <row r="908">
      <c r="B908" s="23"/>
      <c r="C908" s="23"/>
      <c r="E908" s="24"/>
      <c r="G908" s="23"/>
      <c r="H908" s="23"/>
      <c r="I908" s="23"/>
      <c r="J908" s="23"/>
      <c r="K908" s="23"/>
      <c r="L908" s="23"/>
      <c r="M908" s="23"/>
      <c r="N908" s="23"/>
      <c r="O908" s="23"/>
    </row>
    <row r="909">
      <c r="B909" s="23"/>
      <c r="C909" s="23"/>
      <c r="E909" s="24"/>
      <c r="G909" s="23"/>
      <c r="H909" s="23"/>
      <c r="I909" s="23"/>
      <c r="J909" s="23"/>
      <c r="K909" s="23"/>
      <c r="L909" s="23"/>
      <c r="M909" s="23"/>
      <c r="N909" s="23"/>
      <c r="O909" s="23"/>
    </row>
    <row r="910">
      <c r="B910" s="23"/>
      <c r="C910" s="23"/>
      <c r="E910" s="24"/>
      <c r="G910" s="23"/>
      <c r="H910" s="23"/>
      <c r="I910" s="23"/>
      <c r="J910" s="23"/>
      <c r="K910" s="23"/>
      <c r="L910" s="23"/>
      <c r="M910" s="23"/>
      <c r="N910" s="23"/>
      <c r="O910" s="23"/>
    </row>
    <row r="911">
      <c r="B911" s="23"/>
      <c r="C911" s="23"/>
      <c r="E911" s="24"/>
      <c r="G911" s="23"/>
      <c r="H911" s="23"/>
      <c r="I911" s="23"/>
      <c r="J911" s="23"/>
      <c r="K911" s="23"/>
      <c r="L911" s="23"/>
      <c r="M911" s="23"/>
      <c r="N911" s="23"/>
      <c r="O911" s="23"/>
    </row>
    <row r="912">
      <c r="B912" s="23"/>
      <c r="C912" s="23"/>
      <c r="E912" s="24"/>
      <c r="G912" s="23"/>
      <c r="H912" s="23"/>
      <c r="I912" s="23"/>
      <c r="J912" s="23"/>
      <c r="K912" s="23"/>
      <c r="L912" s="23"/>
      <c r="M912" s="23"/>
      <c r="N912" s="23"/>
      <c r="O912" s="23"/>
    </row>
    <row r="913">
      <c r="B913" s="23"/>
      <c r="C913" s="23"/>
      <c r="E913" s="24"/>
      <c r="G913" s="23"/>
      <c r="H913" s="23"/>
      <c r="I913" s="23"/>
      <c r="J913" s="23"/>
      <c r="K913" s="23"/>
      <c r="L913" s="23"/>
      <c r="M913" s="23"/>
      <c r="N913" s="23"/>
      <c r="O913" s="23"/>
    </row>
    <row r="914">
      <c r="B914" s="23"/>
      <c r="C914" s="23"/>
      <c r="E914" s="24"/>
      <c r="G914" s="23"/>
      <c r="H914" s="23"/>
      <c r="I914" s="23"/>
      <c r="J914" s="23"/>
      <c r="K914" s="23"/>
      <c r="L914" s="23"/>
      <c r="M914" s="23"/>
      <c r="N914" s="23"/>
      <c r="O914" s="23"/>
    </row>
    <row r="915">
      <c r="B915" s="23"/>
      <c r="C915" s="23"/>
      <c r="E915" s="24"/>
      <c r="G915" s="23"/>
      <c r="H915" s="23"/>
      <c r="I915" s="23"/>
      <c r="J915" s="23"/>
      <c r="K915" s="23"/>
      <c r="L915" s="23"/>
      <c r="M915" s="23"/>
      <c r="N915" s="23"/>
      <c r="O915" s="23"/>
    </row>
    <row r="916">
      <c r="B916" s="23"/>
      <c r="C916" s="23"/>
      <c r="E916" s="24"/>
      <c r="G916" s="23"/>
      <c r="H916" s="23"/>
      <c r="I916" s="23"/>
      <c r="J916" s="23"/>
      <c r="K916" s="23"/>
      <c r="L916" s="23"/>
      <c r="M916" s="23"/>
      <c r="N916" s="23"/>
      <c r="O916" s="23"/>
    </row>
    <row r="917">
      <c r="B917" s="23"/>
      <c r="C917" s="23"/>
      <c r="E917" s="24"/>
      <c r="G917" s="23"/>
      <c r="H917" s="23"/>
      <c r="I917" s="23"/>
      <c r="J917" s="23"/>
      <c r="K917" s="23"/>
      <c r="L917" s="23"/>
      <c r="M917" s="23"/>
      <c r="N917" s="23"/>
      <c r="O917" s="23"/>
    </row>
    <row r="918">
      <c r="B918" s="23"/>
      <c r="C918" s="23"/>
      <c r="E918" s="24"/>
      <c r="G918" s="23"/>
      <c r="H918" s="23"/>
      <c r="I918" s="23"/>
      <c r="J918" s="23"/>
      <c r="K918" s="23"/>
      <c r="L918" s="23"/>
      <c r="M918" s="23"/>
      <c r="N918" s="23"/>
      <c r="O918" s="23"/>
    </row>
    <row r="919">
      <c r="B919" s="23"/>
      <c r="C919" s="23"/>
      <c r="E919" s="24"/>
      <c r="G919" s="23"/>
      <c r="H919" s="23"/>
      <c r="I919" s="23"/>
      <c r="J919" s="23"/>
      <c r="K919" s="23"/>
      <c r="L919" s="23"/>
      <c r="M919" s="23"/>
      <c r="N919" s="23"/>
      <c r="O919" s="23"/>
    </row>
    <row r="920">
      <c r="B920" s="23"/>
      <c r="C920" s="23"/>
      <c r="E920" s="24"/>
      <c r="G920" s="23"/>
      <c r="H920" s="23"/>
      <c r="I920" s="23"/>
      <c r="J920" s="23"/>
      <c r="K920" s="23"/>
      <c r="L920" s="23"/>
      <c r="M920" s="23"/>
      <c r="N920" s="23"/>
      <c r="O920" s="23"/>
    </row>
    <row r="921">
      <c r="B921" s="23"/>
      <c r="C921" s="23"/>
      <c r="E921" s="24"/>
      <c r="G921" s="23"/>
      <c r="H921" s="23"/>
      <c r="I921" s="23"/>
      <c r="J921" s="23"/>
      <c r="K921" s="23"/>
      <c r="L921" s="23"/>
      <c r="M921" s="23"/>
      <c r="N921" s="23"/>
      <c r="O921" s="23"/>
    </row>
    <row r="922">
      <c r="B922" s="23"/>
      <c r="C922" s="23"/>
      <c r="E922" s="24"/>
      <c r="G922" s="23"/>
      <c r="H922" s="23"/>
      <c r="I922" s="23"/>
      <c r="J922" s="23"/>
      <c r="K922" s="23"/>
      <c r="L922" s="23"/>
      <c r="M922" s="23"/>
      <c r="N922" s="23"/>
      <c r="O922" s="23"/>
    </row>
    <row r="923">
      <c r="B923" s="23"/>
      <c r="C923" s="23"/>
      <c r="E923" s="24"/>
      <c r="G923" s="23"/>
      <c r="H923" s="23"/>
      <c r="I923" s="23"/>
      <c r="J923" s="23"/>
      <c r="K923" s="23"/>
      <c r="L923" s="23"/>
      <c r="M923" s="23"/>
      <c r="N923" s="23"/>
      <c r="O923" s="23"/>
    </row>
    <row r="924">
      <c r="B924" s="23"/>
      <c r="C924" s="23"/>
      <c r="E924" s="24"/>
      <c r="G924" s="23"/>
      <c r="H924" s="23"/>
      <c r="I924" s="23"/>
      <c r="J924" s="23"/>
      <c r="K924" s="23"/>
      <c r="L924" s="23"/>
      <c r="M924" s="23"/>
      <c r="N924" s="23"/>
      <c r="O924" s="23"/>
    </row>
    <row r="925">
      <c r="B925" s="23"/>
      <c r="C925" s="23"/>
      <c r="E925" s="24"/>
      <c r="G925" s="23"/>
      <c r="H925" s="23"/>
      <c r="I925" s="23"/>
      <c r="J925" s="23"/>
      <c r="K925" s="23"/>
      <c r="L925" s="23"/>
      <c r="M925" s="23"/>
      <c r="N925" s="23"/>
      <c r="O925" s="23"/>
    </row>
    <row r="926">
      <c r="B926" s="23"/>
      <c r="C926" s="23"/>
      <c r="E926" s="24"/>
      <c r="G926" s="23"/>
      <c r="H926" s="23"/>
      <c r="I926" s="23"/>
      <c r="J926" s="23"/>
      <c r="K926" s="23"/>
      <c r="L926" s="23"/>
      <c r="M926" s="23"/>
      <c r="N926" s="23"/>
      <c r="O926" s="23"/>
    </row>
    <row r="927">
      <c r="B927" s="23"/>
      <c r="C927" s="23"/>
      <c r="E927" s="24"/>
      <c r="G927" s="23"/>
      <c r="H927" s="23"/>
      <c r="I927" s="23"/>
      <c r="J927" s="23"/>
      <c r="K927" s="23"/>
      <c r="L927" s="23"/>
      <c r="M927" s="23"/>
      <c r="N927" s="23"/>
      <c r="O927" s="23"/>
    </row>
    <row r="928">
      <c r="B928" s="23"/>
      <c r="C928" s="23"/>
      <c r="E928" s="24"/>
      <c r="G928" s="23"/>
      <c r="H928" s="23"/>
      <c r="I928" s="23"/>
      <c r="J928" s="23"/>
      <c r="K928" s="23"/>
      <c r="L928" s="23"/>
      <c r="M928" s="23"/>
      <c r="N928" s="23"/>
      <c r="O928" s="23"/>
    </row>
    <row r="929">
      <c r="B929" s="23"/>
      <c r="C929" s="23"/>
      <c r="E929" s="24"/>
      <c r="G929" s="23"/>
      <c r="H929" s="23"/>
      <c r="I929" s="23"/>
      <c r="J929" s="23"/>
      <c r="K929" s="23"/>
      <c r="L929" s="23"/>
      <c r="M929" s="23"/>
      <c r="N929" s="23"/>
      <c r="O929" s="23"/>
    </row>
    <row r="930">
      <c r="B930" s="23"/>
      <c r="C930" s="23"/>
      <c r="E930" s="24"/>
      <c r="G930" s="23"/>
      <c r="H930" s="23"/>
      <c r="I930" s="23"/>
      <c r="J930" s="23"/>
      <c r="K930" s="23"/>
      <c r="L930" s="23"/>
      <c r="M930" s="23"/>
      <c r="N930" s="23"/>
      <c r="O930" s="23"/>
    </row>
    <row r="931">
      <c r="B931" s="23"/>
      <c r="C931" s="23"/>
      <c r="E931" s="24"/>
      <c r="G931" s="23"/>
      <c r="H931" s="23"/>
      <c r="I931" s="23"/>
      <c r="J931" s="23"/>
      <c r="K931" s="23"/>
      <c r="L931" s="23"/>
      <c r="M931" s="23"/>
      <c r="N931" s="23"/>
      <c r="O931" s="23"/>
    </row>
    <row r="932">
      <c r="B932" s="23"/>
      <c r="C932" s="23"/>
      <c r="E932" s="24"/>
      <c r="G932" s="23"/>
      <c r="H932" s="23"/>
      <c r="I932" s="23"/>
      <c r="J932" s="23"/>
      <c r="K932" s="23"/>
      <c r="L932" s="23"/>
      <c r="M932" s="23"/>
      <c r="N932" s="23"/>
      <c r="O932" s="23"/>
    </row>
    <row r="933">
      <c r="B933" s="23"/>
      <c r="C933" s="23"/>
      <c r="E933" s="24"/>
      <c r="G933" s="23"/>
      <c r="H933" s="23"/>
      <c r="I933" s="23"/>
      <c r="J933" s="23"/>
      <c r="K933" s="23"/>
      <c r="L933" s="23"/>
      <c r="M933" s="23"/>
      <c r="N933" s="23"/>
      <c r="O933" s="23"/>
    </row>
    <row r="934">
      <c r="B934" s="23"/>
      <c r="C934" s="23"/>
      <c r="E934" s="24"/>
      <c r="G934" s="23"/>
      <c r="H934" s="23"/>
      <c r="I934" s="23"/>
      <c r="J934" s="23"/>
      <c r="K934" s="23"/>
      <c r="L934" s="23"/>
      <c r="M934" s="23"/>
      <c r="N934" s="23"/>
      <c r="O934" s="23"/>
    </row>
    <row r="935">
      <c r="B935" s="23"/>
      <c r="C935" s="23"/>
      <c r="E935" s="24"/>
      <c r="G935" s="23"/>
      <c r="H935" s="23"/>
      <c r="I935" s="23"/>
      <c r="J935" s="23"/>
      <c r="K935" s="23"/>
      <c r="L935" s="23"/>
      <c r="M935" s="23"/>
      <c r="N935" s="23"/>
      <c r="O935" s="23"/>
    </row>
    <row r="936">
      <c r="B936" s="23"/>
      <c r="C936" s="23"/>
      <c r="E936" s="24"/>
      <c r="G936" s="23"/>
      <c r="H936" s="23"/>
      <c r="I936" s="23"/>
      <c r="J936" s="23"/>
      <c r="K936" s="23"/>
      <c r="L936" s="23"/>
      <c r="M936" s="23"/>
      <c r="N936" s="23"/>
      <c r="O936" s="23"/>
    </row>
    <row r="937">
      <c r="B937" s="23"/>
      <c r="C937" s="23"/>
      <c r="E937" s="24"/>
      <c r="G937" s="23"/>
      <c r="H937" s="23"/>
      <c r="I937" s="23"/>
      <c r="J937" s="23"/>
      <c r="K937" s="23"/>
      <c r="L937" s="23"/>
      <c r="M937" s="23"/>
      <c r="N937" s="23"/>
      <c r="O937" s="23"/>
    </row>
    <row r="938">
      <c r="B938" s="23"/>
      <c r="C938" s="23"/>
      <c r="E938" s="24"/>
      <c r="G938" s="23"/>
      <c r="H938" s="23"/>
      <c r="I938" s="23"/>
      <c r="J938" s="23"/>
      <c r="K938" s="23"/>
      <c r="L938" s="23"/>
      <c r="M938" s="23"/>
      <c r="N938" s="23"/>
      <c r="O938" s="23"/>
    </row>
    <row r="939">
      <c r="B939" s="23"/>
      <c r="C939" s="23"/>
      <c r="E939" s="24"/>
      <c r="G939" s="23"/>
      <c r="H939" s="23"/>
      <c r="I939" s="23"/>
      <c r="J939" s="23"/>
      <c r="K939" s="23"/>
      <c r="L939" s="23"/>
      <c r="M939" s="23"/>
      <c r="N939" s="23"/>
      <c r="O939" s="23"/>
    </row>
    <row r="940">
      <c r="B940" s="23"/>
      <c r="C940" s="23"/>
      <c r="E940" s="24"/>
      <c r="G940" s="23"/>
      <c r="H940" s="23"/>
      <c r="I940" s="23"/>
      <c r="J940" s="23"/>
      <c r="K940" s="23"/>
      <c r="L940" s="23"/>
      <c r="M940" s="23"/>
      <c r="N940" s="23"/>
      <c r="O940" s="23"/>
    </row>
    <row r="941">
      <c r="B941" s="23"/>
      <c r="C941" s="23"/>
      <c r="E941" s="24"/>
      <c r="G941" s="23"/>
      <c r="H941" s="23"/>
      <c r="I941" s="23"/>
      <c r="J941" s="23"/>
      <c r="K941" s="23"/>
      <c r="L941" s="23"/>
      <c r="M941" s="23"/>
      <c r="N941" s="23"/>
      <c r="O941" s="23"/>
    </row>
    <row r="942">
      <c r="B942" s="23"/>
      <c r="C942" s="23"/>
      <c r="E942" s="24"/>
      <c r="G942" s="23"/>
      <c r="H942" s="23"/>
      <c r="I942" s="23"/>
      <c r="J942" s="23"/>
      <c r="K942" s="23"/>
      <c r="L942" s="23"/>
      <c r="M942" s="23"/>
      <c r="N942" s="23"/>
      <c r="O942" s="23"/>
    </row>
    <row r="943">
      <c r="B943" s="23"/>
      <c r="C943" s="23"/>
      <c r="E943" s="24"/>
      <c r="G943" s="23"/>
      <c r="H943" s="23"/>
      <c r="I943" s="23"/>
      <c r="J943" s="23"/>
      <c r="K943" s="23"/>
      <c r="L943" s="23"/>
      <c r="M943" s="23"/>
      <c r="N943" s="23"/>
      <c r="O943" s="23"/>
    </row>
    <row r="944">
      <c r="B944" s="23"/>
      <c r="C944" s="23"/>
      <c r="E944" s="24"/>
      <c r="G944" s="23"/>
      <c r="H944" s="23"/>
      <c r="I944" s="23"/>
      <c r="J944" s="23"/>
      <c r="K944" s="23"/>
      <c r="L944" s="23"/>
      <c r="M944" s="23"/>
      <c r="N944" s="23"/>
      <c r="O944" s="23"/>
    </row>
    <row r="945">
      <c r="B945" s="23"/>
      <c r="C945" s="23"/>
      <c r="E945" s="24"/>
      <c r="G945" s="23"/>
      <c r="H945" s="23"/>
      <c r="I945" s="23"/>
      <c r="J945" s="23"/>
      <c r="K945" s="23"/>
      <c r="L945" s="23"/>
      <c r="M945" s="23"/>
      <c r="N945" s="23"/>
      <c r="O945" s="23"/>
    </row>
    <row r="946">
      <c r="B946" s="23"/>
      <c r="C946" s="23"/>
      <c r="E946" s="24"/>
      <c r="G946" s="23"/>
      <c r="H946" s="23"/>
      <c r="I946" s="23"/>
      <c r="J946" s="23"/>
      <c r="K946" s="23"/>
      <c r="L946" s="23"/>
      <c r="M946" s="23"/>
      <c r="N946" s="23"/>
      <c r="O946" s="23"/>
    </row>
    <row r="947">
      <c r="B947" s="23"/>
      <c r="C947" s="23"/>
      <c r="E947" s="24"/>
      <c r="G947" s="23"/>
      <c r="H947" s="23"/>
      <c r="I947" s="23"/>
      <c r="J947" s="23"/>
      <c r="K947" s="23"/>
      <c r="L947" s="23"/>
      <c r="M947" s="23"/>
      <c r="N947" s="23"/>
      <c r="O947" s="23"/>
    </row>
    <row r="948">
      <c r="B948" s="23"/>
      <c r="C948" s="23"/>
      <c r="E948" s="24"/>
      <c r="G948" s="23"/>
      <c r="H948" s="23"/>
      <c r="I948" s="23"/>
      <c r="J948" s="23"/>
      <c r="K948" s="23"/>
      <c r="L948" s="23"/>
      <c r="M948" s="23"/>
      <c r="N948" s="23"/>
      <c r="O948" s="23"/>
    </row>
    <row r="949">
      <c r="B949" s="23"/>
      <c r="C949" s="23"/>
      <c r="E949" s="24"/>
      <c r="G949" s="23"/>
      <c r="H949" s="23"/>
      <c r="I949" s="23"/>
      <c r="J949" s="23"/>
      <c r="K949" s="23"/>
      <c r="L949" s="23"/>
      <c r="M949" s="23"/>
      <c r="N949" s="23"/>
      <c r="O949" s="23"/>
    </row>
    <row r="950">
      <c r="B950" s="23"/>
      <c r="C950" s="23"/>
      <c r="E950" s="24"/>
      <c r="G950" s="23"/>
      <c r="H950" s="23"/>
      <c r="I950" s="23"/>
      <c r="J950" s="23"/>
      <c r="K950" s="23"/>
      <c r="L950" s="23"/>
      <c r="M950" s="23"/>
      <c r="N950" s="23"/>
      <c r="O950" s="23"/>
    </row>
    <row r="951">
      <c r="B951" s="23"/>
      <c r="C951" s="23"/>
      <c r="E951" s="24"/>
      <c r="G951" s="23"/>
      <c r="H951" s="23"/>
      <c r="I951" s="23"/>
      <c r="J951" s="23"/>
      <c r="K951" s="23"/>
      <c r="L951" s="23"/>
      <c r="M951" s="23"/>
      <c r="N951" s="23"/>
      <c r="O951" s="23"/>
    </row>
    <row r="952">
      <c r="B952" s="23"/>
      <c r="C952" s="23"/>
      <c r="E952" s="24"/>
      <c r="G952" s="23"/>
      <c r="H952" s="23"/>
      <c r="I952" s="23"/>
      <c r="J952" s="23"/>
      <c r="K952" s="23"/>
      <c r="L952" s="23"/>
      <c r="M952" s="23"/>
      <c r="N952" s="23"/>
      <c r="O952" s="23"/>
    </row>
    <row r="953">
      <c r="B953" s="23"/>
      <c r="C953" s="23"/>
      <c r="E953" s="24"/>
      <c r="G953" s="23"/>
      <c r="H953" s="23"/>
      <c r="I953" s="23"/>
      <c r="J953" s="23"/>
      <c r="K953" s="23"/>
      <c r="L953" s="23"/>
      <c r="M953" s="23"/>
      <c r="N953" s="23"/>
      <c r="O953" s="23"/>
    </row>
    <row r="954">
      <c r="B954" s="23"/>
      <c r="C954" s="23"/>
      <c r="E954" s="24"/>
      <c r="G954" s="23"/>
      <c r="H954" s="23"/>
      <c r="I954" s="23"/>
      <c r="J954" s="23"/>
      <c r="K954" s="23"/>
      <c r="L954" s="23"/>
      <c r="M954" s="23"/>
      <c r="N954" s="23"/>
      <c r="O954" s="23"/>
    </row>
    <row r="955">
      <c r="B955" s="23"/>
      <c r="C955" s="23"/>
      <c r="E955" s="24"/>
      <c r="G955" s="23"/>
      <c r="H955" s="23"/>
      <c r="I955" s="23"/>
      <c r="J955" s="23"/>
      <c r="K955" s="23"/>
      <c r="L955" s="23"/>
      <c r="M955" s="23"/>
      <c r="N955" s="23"/>
      <c r="O955" s="23"/>
    </row>
    <row r="956">
      <c r="B956" s="23"/>
      <c r="C956" s="23"/>
      <c r="E956" s="24"/>
      <c r="G956" s="23"/>
      <c r="H956" s="23"/>
      <c r="I956" s="23"/>
      <c r="J956" s="23"/>
      <c r="K956" s="23"/>
      <c r="L956" s="23"/>
      <c r="M956" s="23"/>
      <c r="N956" s="23"/>
      <c r="O956" s="23"/>
    </row>
    <row r="957">
      <c r="B957" s="23"/>
      <c r="C957" s="23"/>
      <c r="E957" s="24"/>
      <c r="G957" s="23"/>
      <c r="H957" s="23"/>
      <c r="I957" s="23"/>
      <c r="J957" s="23"/>
      <c r="K957" s="23"/>
      <c r="L957" s="23"/>
      <c r="M957" s="23"/>
      <c r="N957" s="23"/>
      <c r="O957" s="23"/>
    </row>
    <row r="958">
      <c r="B958" s="23"/>
      <c r="C958" s="23"/>
      <c r="E958" s="24"/>
      <c r="G958" s="23"/>
      <c r="H958" s="23"/>
      <c r="I958" s="23"/>
      <c r="J958" s="23"/>
      <c r="K958" s="23"/>
      <c r="L958" s="23"/>
      <c r="M958" s="23"/>
      <c r="N958" s="23"/>
      <c r="O958" s="23"/>
    </row>
    <row r="959">
      <c r="B959" s="23"/>
      <c r="C959" s="23"/>
      <c r="E959" s="24"/>
      <c r="G959" s="23"/>
      <c r="H959" s="23"/>
      <c r="I959" s="23"/>
      <c r="J959" s="23"/>
      <c r="K959" s="23"/>
      <c r="L959" s="23"/>
      <c r="M959" s="23"/>
      <c r="N959" s="23"/>
      <c r="O959" s="23"/>
    </row>
    <row r="960">
      <c r="B960" s="23"/>
      <c r="C960" s="23"/>
      <c r="E960" s="24"/>
      <c r="G960" s="23"/>
      <c r="H960" s="23"/>
      <c r="I960" s="23"/>
      <c r="J960" s="23"/>
      <c r="K960" s="23"/>
      <c r="L960" s="23"/>
      <c r="M960" s="23"/>
      <c r="N960" s="23"/>
      <c r="O960" s="23"/>
    </row>
    <row r="961">
      <c r="B961" s="23"/>
      <c r="C961" s="23"/>
      <c r="E961" s="24"/>
      <c r="G961" s="23"/>
      <c r="H961" s="23"/>
      <c r="I961" s="23"/>
      <c r="J961" s="23"/>
      <c r="K961" s="23"/>
      <c r="L961" s="23"/>
      <c r="M961" s="23"/>
      <c r="N961" s="23"/>
      <c r="O961" s="23"/>
    </row>
    <row r="962">
      <c r="B962" s="23"/>
      <c r="C962" s="23"/>
      <c r="E962" s="24"/>
      <c r="G962" s="23"/>
      <c r="H962" s="23"/>
      <c r="I962" s="23"/>
      <c r="J962" s="23"/>
      <c r="K962" s="23"/>
      <c r="L962" s="23"/>
      <c r="M962" s="23"/>
      <c r="N962" s="23"/>
      <c r="O962" s="23"/>
    </row>
    <row r="963">
      <c r="B963" s="23"/>
      <c r="C963" s="23"/>
      <c r="E963" s="24"/>
      <c r="G963" s="23"/>
      <c r="H963" s="23"/>
      <c r="I963" s="23"/>
      <c r="J963" s="23"/>
      <c r="K963" s="23"/>
      <c r="L963" s="23"/>
      <c r="M963" s="23"/>
      <c r="N963" s="23"/>
      <c r="O963" s="23"/>
    </row>
    <row r="964">
      <c r="B964" s="23"/>
      <c r="C964" s="23"/>
      <c r="E964" s="24"/>
      <c r="G964" s="23"/>
      <c r="H964" s="23"/>
      <c r="I964" s="23"/>
      <c r="J964" s="23"/>
      <c r="K964" s="23"/>
      <c r="L964" s="23"/>
      <c r="M964" s="23"/>
      <c r="N964" s="23"/>
      <c r="O964" s="23"/>
    </row>
    <row r="965">
      <c r="B965" s="23"/>
      <c r="C965" s="23"/>
      <c r="E965" s="24"/>
      <c r="G965" s="23"/>
      <c r="H965" s="23"/>
      <c r="I965" s="23"/>
      <c r="J965" s="23"/>
      <c r="K965" s="23"/>
      <c r="L965" s="23"/>
      <c r="M965" s="23"/>
      <c r="N965" s="23"/>
      <c r="O965" s="23"/>
    </row>
    <row r="966">
      <c r="B966" s="23"/>
      <c r="C966" s="23"/>
      <c r="E966" s="24"/>
      <c r="G966" s="23"/>
      <c r="H966" s="23"/>
      <c r="I966" s="23"/>
      <c r="J966" s="23"/>
      <c r="K966" s="23"/>
      <c r="L966" s="23"/>
      <c r="M966" s="23"/>
      <c r="N966" s="23"/>
      <c r="O966" s="23"/>
    </row>
    <row r="967">
      <c r="B967" s="23"/>
      <c r="C967" s="23"/>
      <c r="E967" s="24"/>
      <c r="G967" s="23"/>
      <c r="H967" s="23"/>
      <c r="I967" s="23"/>
      <c r="J967" s="23"/>
      <c r="K967" s="23"/>
      <c r="L967" s="23"/>
      <c r="M967" s="23"/>
      <c r="N967" s="23"/>
      <c r="O967" s="23"/>
    </row>
    <row r="968">
      <c r="B968" s="23"/>
      <c r="C968" s="23"/>
      <c r="E968" s="24"/>
      <c r="G968" s="23"/>
      <c r="H968" s="23"/>
      <c r="I968" s="23"/>
      <c r="J968" s="23"/>
      <c r="K968" s="23"/>
      <c r="L968" s="23"/>
      <c r="M968" s="23"/>
      <c r="N968" s="23"/>
      <c r="O968" s="23"/>
    </row>
    <row r="969">
      <c r="B969" s="23"/>
      <c r="C969" s="23"/>
      <c r="E969" s="24"/>
      <c r="G969" s="23"/>
      <c r="H969" s="23"/>
      <c r="I969" s="23"/>
      <c r="J969" s="23"/>
      <c r="K969" s="23"/>
      <c r="L969" s="23"/>
      <c r="M969" s="23"/>
      <c r="N969" s="23"/>
      <c r="O969" s="23"/>
    </row>
    <row r="970">
      <c r="B970" s="23"/>
      <c r="C970" s="23"/>
      <c r="E970" s="24"/>
      <c r="G970" s="23"/>
      <c r="H970" s="23"/>
      <c r="I970" s="23"/>
      <c r="J970" s="23"/>
      <c r="K970" s="23"/>
      <c r="L970" s="23"/>
      <c r="M970" s="23"/>
      <c r="N970" s="23"/>
      <c r="O970" s="23"/>
    </row>
    <row r="971">
      <c r="B971" s="23"/>
      <c r="C971" s="23"/>
      <c r="E971" s="24"/>
      <c r="G971" s="23"/>
      <c r="H971" s="23"/>
      <c r="I971" s="23"/>
      <c r="J971" s="23"/>
      <c r="K971" s="23"/>
      <c r="L971" s="23"/>
      <c r="M971" s="23"/>
      <c r="N971" s="23"/>
      <c r="O971" s="23"/>
    </row>
    <row r="972">
      <c r="B972" s="23"/>
      <c r="C972" s="23"/>
      <c r="E972" s="24"/>
      <c r="G972" s="23"/>
      <c r="H972" s="23"/>
      <c r="I972" s="23"/>
      <c r="J972" s="23"/>
      <c r="K972" s="23"/>
      <c r="L972" s="23"/>
      <c r="M972" s="23"/>
      <c r="N972" s="23"/>
      <c r="O972" s="23"/>
    </row>
    <row r="973">
      <c r="B973" s="23"/>
      <c r="C973" s="23"/>
      <c r="E973" s="24"/>
      <c r="G973" s="23"/>
      <c r="H973" s="23"/>
      <c r="I973" s="23"/>
      <c r="J973" s="23"/>
      <c r="K973" s="23"/>
      <c r="L973" s="23"/>
      <c r="M973" s="23"/>
      <c r="N973" s="23"/>
      <c r="O973" s="23"/>
    </row>
    <row r="974">
      <c r="B974" s="23"/>
      <c r="C974" s="23"/>
      <c r="E974" s="24"/>
      <c r="G974" s="23"/>
      <c r="H974" s="23"/>
      <c r="I974" s="23"/>
      <c r="J974" s="23"/>
      <c r="K974" s="23"/>
      <c r="L974" s="23"/>
      <c r="M974" s="23"/>
      <c r="N974" s="23"/>
      <c r="O974" s="23"/>
    </row>
    <row r="975">
      <c r="B975" s="23"/>
      <c r="C975" s="23"/>
      <c r="E975" s="24"/>
      <c r="G975" s="23"/>
      <c r="H975" s="23"/>
      <c r="I975" s="23"/>
      <c r="J975" s="23"/>
      <c r="K975" s="23"/>
      <c r="L975" s="23"/>
      <c r="M975" s="23"/>
      <c r="N975" s="23"/>
      <c r="O975" s="23"/>
    </row>
    <row r="976">
      <c r="B976" s="23"/>
      <c r="C976" s="23"/>
      <c r="E976" s="24"/>
      <c r="G976" s="23"/>
      <c r="H976" s="23"/>
      <c r="I976" s="23"/>
      <c r="J976" s="23"/>
      <c r="K976" s="23"/>
      <c r="L976" s="23"/>
      <c r="M976" s="23"/>
      <c r="N976" s="23"/>
      <c r="O976" s="23"/>
    </row>
    <row r="977">
      <c r="B977" s="23"/>
      <c r="C977" s="23"/>
      <c r="E977" s="24"/>
      <c r="G977" s="23"/>
      <c r="H977" s="23"/>
      <c r="I977" s="23"/>
      <c r="J977" s="23"/>
      <c r="K977" s="23"/>
      <c r="L977" s="23"/>
      <c r="M977" s="23"/>
      <c r="N977" s="23"/>
      <c r="O977" s="23"/>
    </row>
    <row r="978">
      <c r="B978" s="23"/>
      <c r="C978" s="23"/>
      <c r="E978" s="24"/>
      <c r="G978" s="23"/>
      <c r="H978" s="23"/>
      <c r="I978" s="23"/>
      <c r="J978" s="23"/>
      <c r="K978" s="23"/>
      <c r="L978" s="23"/>
      <c r="M978" s="23"/>
      <c r="N978" s="23"/>
      <c r="O978" s="23"/>
    </row>
    <row r="979">
      <c r="B979" s="23"/>
      <c r="C979" s="23"/>
      <c r="E979" s="24"/>
      <c r="G979" s="23"/>
      <c r="H979" s="23"/>
      <c r="I979" s="23"/>
      <c r="J979" s="23"/>
      <c r="K979" s="23"/>
      <c r="L979" s="23"/>
      <c r="M979" s="23"/>
      <c r="N979" s="23"/>
      <c r="O979" s="23"/>
    </row>
    <row r="980">
      <c r="B980" s="23"/>
      <c r="C980" s="23"/>
      <c r="E980" s="24"/>
      <c r="G980" s="23"/>
      <c r="H980" s="23"/>
      <c r="I980" s="23"/>
      <c r="J980" s="23"/>
      <c r="K980" s="23"/>
      <c r="L980" s="23"/>
      <c r="M980" s="23"/>
      <c r="N980" s="23"/>
      <c r="O980" s="23"/>
    </row>
    <row r="981">
      <c r="B981" s="23"/>
      <c r="C981" s="23"/>
      <c r="E981" s="24"/>
      <c r="G981" s="23"/>
      <c r="H981" s="23"/>
      <c r="I981" s="23"/>
      <c r="J981" s="23"/>
      <c r="K981" s="23"/>
      <c r="L981" s="23"/>
      <c r="M981" s="23"/>
      <c r="N981" s="23"/>
      <c r="O981" s="23"/>
    </row>
    <row r="982">
      <c r="B982" s="23"/>
      <c r="C982" s="23"/>
      <c r="E982" s="24"/>
      <c r="G982" s="23"/>
      <c r="H982" s="23"/>
      <c r="I982" s="23"/>
      <c r="J982" s="23"/>
      <c r="K982" s="23"/>
      <c r="L982" s="23"/>
      <c r="M982" s="23"/>
      <c r="N982" s="23"/>
      <c r="O982" s="23"/>
    </row>
    <row r="983">
      <c r="B983" s="23"/>
      <c r="C983" s="23"/>
      <c r="E983" s="24"/>
      <c r="G983" s="23"/>
      <c r="H983" s="23"/>
      <c r="I983" s="23"/>
      <c r="J983" s="23"/>
      <c r="K983" s="23"/>
      <c r="L983" s="23"/>
      <c r="M983" s="23"/>
      <c r="N983" s="23"/>
      <c r="O983" s="23"/>
    </row>
    <row r="984">
      <c r="B984" s="23"/>
      <c r="C984" s="23"/>
      <c r="E984" s="24"/>
      <c r="G984" s="23"/>
      <c r="H984" s="23"/>
      <c r="I984" s="23"/>
      <c r="J984" s="23"/>
      <c r="K984" s="23"/>
      <c r="L984" s="23"/>
      <c r="M984" s="23"/>
      <c r="N984" s="23"/>
      <c r="O984" s="23"/>
    </row>
    <row r="985">
      <c r="B985" s="23"/>
      <c r="C985" s="23"/>
      <c r="E985" s="24"/>
      <c r="G985" s="23"/>
      <c r="H985" s="23"/>
      <c r="I985" s="23"/>
      <c r="J985" s="23"/>
      <c r="K985" s="23"/>
      <c r="L985" s="23"/>
      <c r="M985" s="23"/>
      <c r="N985" s="23"/>
      <c r="O985" s="23"/>
    </row>
    <row r="986">
      <c r="B986" s="23"/>
      <c r="C986" s="23"/>
      <c r="E986" s="24"/>
      <c r="G986" s="23"/>
      <c r="H986" s="23"/>
      <c r="I986" s="23"/>
      <c r="J986" s="23"/>
      <c r="K986" s="23"/>
      <c r="L986" s="23"/>
      <c r="M986" s="23"/>
      <c r="N986" s="23"/>
      <c r="O986" s="23"/>
    </row>
    <row r="987">
      <c r="B987" s="23"/>
      <c r="C987" s="23"/>
      <c r="E987" s="24"/>
      <c r="G987" s="23"/>
      <c r="H987" s="23"/>
      <c r="I987" s="23"/>
      <c r="J987" s="23"/>
      <c r="K987" s="23"/>
      <c r="L987" s="23"/>
      <c r="M987" s="23"/>
      <c r="N987" s="23"/>
      <c r="O987" s="23"/>
    </row>
    <row r="988">
      <c r="B988" s="23"/>
      <c r="C988" s="23"/>
      <c r="E988" s="24"/>
      <c r="G988" s="23"/>
      <c r="H988" s="23"/>
      <c r="I988" s="23"/>
      <c r="J988" s="23"/>
      <c r="K988" s="23"/>
      <c r="L988" s="23"/>
      <c r="M988" s="23"/>
      <c r="N988" s="23"/>
      <c r="O988" s="23"/>
    </row>
    <row r="989">
      <c r="B989" s="23"/>
      <c r="C989" s="23"/>
      <c r="E989" s="24"/>
      <c r="G989" s="23"/>
      <c r="H989" s="23"/>
      <c r="I989" s="23"/>
      <c r="J989" s="23"/>
      <c r="K989" s="23"/>
      <c r="L989" s="23"/>
      <c r="M989" s="23"/>
      <c r="N989" s="23"/>
      <c r="O989" s="23"/>
    </row>
    <row r="990">
      <c r="B990" s="23"/>
      <c r="C990" s="23"/>
      <c r="E990" s="24"/>
      <c r="G990" s="23"/>
      <c r="H990" s="23"/>
      <c r="I990" s="23"/>
      <c r="J990" s="23"/>
      <c r="K990" s="23"/>
      <c r="L990" s="23"/>
      <c r="M990" s="23"/>
      <c r="N990" s="23"/>
      <c r="O990" s="23"/>
    </row>
    <row r="991">
      <c r="B991" s="23"/>
      <c r="C991" s="23"/>
      <c r="E991" s="24"/>
      <c r="G991" s="23"/>
      <c r="H991" s="23"/>
      <c r="I991" s="23"/>
      <c r="J991" s="23"/>
      <c r="K991" s="23"/>
      <c r="L991" s="23"/>
      <c r="M991" s="23"/>
      <c r="N991" s="23"/>
      <c r="O991" s="23"/>
    </row>
    <row r="992">
      <c r="B992" s="23"/>
      <c r="C992" s="23"/>
      <c r="E992" s="24"/>
      <c r="G992" s="23"/>
      <c r="H992" s="23"/>
      <c r="I992" s="23"/>
      <c r="J992" s="23"/>
      <c r="K992" s="23"/>
      <c r="L992" s="23"/>
      <c r="M992" s="23"/>
      <c r="N992" s="23"/>
      <c r="O992" s="23"/>
    </row>
    <row r="993">
      <c r="B993" s="23"/>
      <c r="C993" s="23"/>
      <c r="E993" s="24"/>
      <c r="G993" s="23"/>
      <c r="H993" s="23"/>
      <c r="I993" s="23"/>
      <c r="J993" s="23"/>
      <c r="K993" s="23"/>
      <c r="L993" s="23"/>
      <c r="M993" s="23"/>
      <c r="N993" s="23"/>
      <c r="O993" s="23"/>
    </row>
    <row r="994">
      <c r="B994" s="23"/>
      <c r="C994" s="23"/>
      <c r="E994" s="24"/>
      <c r="G994" s="23"/>
      <c r="H994" s="23"/>
      <c r="I994" s="23"/>
      <c r="J994" s="23"/>
      <c r="K994" s="23"/>
      <c r="L994" s="23"/>
      <c r="M994" s="23"/>
      <c r="N994" s="23"/>
      <c r="O994" s="23"/>
    </row>
    <row r="995">
      <c r="B995" s="23"/>
      <c r="C995" s="23"/>
      <c r="E995" s="24"/>
      <c r="G995" s="23"/>
      <c r="H995" s="23"/>
      <c r="I995" s="23"/>
      <c r="J995" s="23"/>
      <c r="K995" s="23"/>
      <c r="L995" s="23"/>
      <c r="M995" s="23"/>
      <c r="N995" s="23"/>
      <c r="O995" s="23"/>
    </row>
    <row r="996">
      <c r="B996" s="23"/>
      <c r="C996" s="23"/>
      <c r="E996" s="24"/>
      <c r="G996" s="23"/>
      <c r="H996" s="23"/>
      <c r="I996" s="23"/>
      <c r="J996" s="23"/>
      <c r="K996" s="23"/>
      <c r="L996" s="23"/>
      <c r="M996" s="23"/>
      <c r="N996" s="23"/>
      <c r="O996" s="23"/>
    </row>
    <row r="997">
      <c r="B997" s="23"/>
      <c r="C997" s="23"/>
      <c r="E997" s="24"/>
      <c r="G997" s="23"/>
      <c r="H997" s="23"/>
      <c r="I997" s="23"/>
      <c r="J997" s="23"/>
      <c r="K997" s="23"/>
      <c r="L997" s="23"/>
      <c r="M997" s="23"/>
      <c r="N997" s="23"/>
      <c r="O997" s="23"/>
    </row>
    <row r="998">
      <c r="B998" s="23"/>
      <c r="C998" s="23"/>
      <c r="E998" s="24"/>
      <c r="G998" s="23"/>
      <c r="H998" s="23"/>
      <c r="I998" s="23"/>
      <c r="J998" s="23"/>
      <c r="K998" s="23"/>
      <c r="L998" s="23"/>
      <c r="M998" s="23"/>
      <c r="N998" s="23"/>
      <c r="O998" s="23"/>
    </row>
    <row r="999">
      <c r="B999" s="23"/>
      <c r="C999" s="23"/>
      <c r="E999" s="24"/>
      <c r="G999" s="23"/>
      <c r="H999" s="23"/>
      <c r="I999" s="23"/>
      <c r="J999" s="23"/>
      <c r="K999" s="23"/>
      <c r="L999" s="23"/>
      <c r="M999" s="23"/>
      <c r="N999" s="23"/>
      <c r="O999" s="23"/>
    </row>
    <row r="1000">
      <c r="B1000" s="23"/>
      <c r="C1000" s="23"/>
      <c r="E1000" s="24"/>
      <c r="G1000" s="23"/>
      <c r="H1000" s="23"/>
      <c r="I1000" s="23"/>
      <c r="J1000" s="23"/>
      <c r="K1000" s="23"/>
      <c r="L1000" s="23"/>
      <c r="M1000" s="23"/>
      <c r="N1000" s="23"/>
      <c r="O1000" s="23"/>
    </row>
    <row r="1001">
      <c r="B1001" s="23"/>
      <c r="C1001" s="23"/>
      <c r="E1001" s="24"/>
      <c r="G1001" s="23"/>
      <c r="H1001" s="23"/>
      <c r="I1001" s="23"/>
      <c r="J1001" s="23"/>
      <c r="K1001" s="23"/>
      <c r="L1001" s="23"/>
      <c r="M1001" s="23"/>
      <c r="N1001" s="23"/>
      <c r="O1001" s="23"/>
    </row>
  </sheetData>
  <mergeCells count="6">
    <mergeCell ref="A1:G1"/>
    <mergeCell ref="H1:I1"/>
    <mergeCell ref="J1:K1"/>
    <mergeCell ref="L1:M1"/>
    <mergeCell ref="N1:O1"/>
    <mergeCell ref="Q1:S1"/>
  </mergeCells>
  <conditionalFormatting sqref="P3:P152">
    <cfRule type="colorScale" priority="1">
      <colorScale>
        <cfvo type="min"/>
        <cfvo type="percentile" val="75"/>
        <cfvo type="max"/>
        <color rgb="FFE67C73"/>
        <color rgb="FFFFFFFF"/>
        <color rgb="FFD4EDBC"/>
      </colorScale>
    </cfRule>
  </conditionalFormatting>
  <dataValidations>
    <dataValidation type="list" allowBlank="1" showErrorMessage="1" sqref="C3:C1001">
      <formula1>"zero-shot,few-shot,chain-of-thought"</formula1>
    </dataValidation>
    <dataValidation type="list" allowBlank="1" showErrorMessage="1" sqref="H3:O1001">
      <formula1>"0,0.5,1"</formula1>
    </dataValidation>
    <dataValidation type="list" allowBlank="1" showErrorMessage="1" sqref="B3:B1001">
      <formula1>"GPT-4,Claude Opus,Gemini"</formula1>
    </dataValidation>
    <dataValidation type="list" allowBlank="1" showErrorMessage="1" sqref="G2:G1001">
      <formula1>"Yes,No,Correct Diagnosis? (Y/N)"</formula1>
    </dataValidation>
  </dataValidations>
  <drawing r:id="rId1"/>
</worksheet>
</file>